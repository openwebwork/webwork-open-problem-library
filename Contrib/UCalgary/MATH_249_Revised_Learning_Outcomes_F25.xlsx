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mc:AlternateContent xmlns:mc="http://schemas.openxmlformats.org/markup-compatibility/2006">
    <mc:Choice Requires="x15">
      <x15ac:absPath xmlns:x15ac="http://schemas.microsoft.com/office/spreadsheetml/2010/11/ac" url="https://uofc-my.sharepoint.com/personal/jerrod_smith_ucalgary_ca/Documents/10_TI_Grant_2024/WeBWork_Backups/"/>
    </mc:Choice>
  </mc:AlternateContent>
  <xr:revisionPtr revIDLastSave="4796" documentId="11_862F0BBE0CCA3A18815F4B6573A0187F3CED4083" xr6:coauthVersionLast="47" xr6:coauthVersionMax="47" xr10:uidLastSave="{1C98D160-756D-084B-88F4-6E431CDF8F9E}"/>
  <bookViews>
    <workbookView xWindow="0" yWindow="600" windowWidth="28800" windowHeight="16180" xr2:uid="{00000000-000D-0000-FFFF-FFFF00000000}"/>
  </bookViews>
  <sheets>
    <sheet name="MATH249_Outcomes_2025" sheetId="1" r:id="rId1"/>
    <sheet name="WeBWork Quiz Desig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1" l="1"/>
  <c r="A19" i="1"/>
  <c r="E4" i="1"/>
  <c r="E5" i="1"/>
  <c r="A181" i="1"/>
  <c r="J155" i="1"/>
  <c r="J132" i="1"/>
  <c r="J175" i="1"/>
  <c r="E164" i="1"/>
  <c r="A164" i="1"/>
  <c r="E163" i="1"/>
  <c r="A163" i="1"/>
  <c r="E162" i="1"/>
  <c r="A162" i="1"/>
  <c r="E161" i="1"/>
  <c r="A161" i="1"/>
  <c r="E170" i="1"/>
  <c r="A170" i="1"/>
  <c r="J146" i="1"/>
  <c r="E135" i="1"/>
  <c r="E136" i="1"/>
  <c r="A135" i="1"/>
  <c r="A136" i="1"/>
  <c r="J126" i="1"/>
  <c r="A119" i="1"/>
  <c r="J103" i="1"/>
  <c r="A121" i="1"/>
  <c r="J92" i="1"/>
  <c r="A93" i="1"/>
  <c r="J72" i="1"/>
  <c r="A78" i="1"/>
  <c r="J84" i="1"/>
  <c r="A180" i="1"/>
  <c r="J49" i="1"/>
  <c r="A48" i="1"/>
  <c r="E48" i="1"/>
  <c r="E47" i="1"/>
  <c r="A47" i="1"/>
  <c r="J38" i="1"/>
  <c r="J29" i="1"/>
  <c r="J21" i="1"/>
  <c r="A6" i="1"/>
  <c r="E6" i="1"/>
  <c r="E7" i="1"/>
  <c r="E8" i="1"/>
  <c r="E9" i="1"/>
  <c r="E10" i="1"/>
  <c r="E11" i="1"/>
  <c r="E12" i="1"/>
  <c r="E13" i="1"/>
  <c r="E14" i="1"/>
  <c r="E15" i="1"/>
  <c r="E16" i="1"/>
  <c r="E17" i="1"/>
  <c r="E18" i="1"/>
  <c r="E19" i="1"/>
  <c r="E20" i="1"/>
  <c r="E22" i="1"/>
  <c r="E23" i="1"/>
  <c r="E24" i="1"/>
  <c r="E25" i="1"/>
  <c r="E26" i="1"/>
  <c r="E27" i="1"/>
  <c r="E28" i="1"/>
  <c r="E30" i="1"/>
  <c r="E33" i="1"/>
  <c r="E34" i="1"/>
  <c r="E36" i="1"/>
  <c r="E37" i="1"/>
  <c r="E39" i="1"/>
  <c r="E40" i="1"/>
  <c r="E41" i="1"/>
  <c r="E42" i="1"/>
  <c r="E43" i="1"/>
  <c r="E44" i="1"/>
  <c r="E45" i="1"/>
  <c r="E46" i="1"/>
  <c r="E50" i="1"/>
  <c r="E51" i="1"/>
  <c r="E52" i="1"/>
  <c r="E53" i="1"/>
  <c r="E54" i="1"/>
  <c r="E55" i="1"/>
  <c r="E56" i="1"/>
  <c r="E57" i="1"/>
  <c r="E58" i="1"/>
  <c r="E59" i="1"/>
  <c r="E60" i="1"/>
  <c r="E61" i="1"/>
  <c r="E62" i="1"/>
  <c r="E63" i="1"/>
  <c r="E64" i="1"/>
  <c r="E65" i="1"/>
  <c r="E66" i="1"/>
  <c r="E67" i="1"/>
  <c r="E68" i="1"/>
  <c r="E69" i="1"/>
  <c r="E70" i="1"/>
  <c r="E71" i="1"/>
  <c r="E73" i="1"/>
  <c r="E74" i="1"/>
  <c r="E75" i="1"/>
  <c r="E76" i="1"/>
  <c r="E77" i="1"/>
  <c r="E78" i="1"/>
  <c r="E79" i="1"/>
  <c r="E80" i="1"/>
  <c r="E81" i="1"/>
  <c r="E82" i="1"/>
  <c r="E83" i="1"/>
  <c r="E85" i="1"/>
  <c r="E86" i="1"/>
  <c r="E87" i="1"/>
  <c r="E88" i="1"/>
  <c r="E89" i="1"/>
  <c r="E90" i="1"/>
  <c r="E91" i="1"/>
  <c r="E93" i="1"/>
  <c r="E94" i="1"/>
  <c r="E95" i="1"/>
  <c r="E96" i="1"/>
  <c r="E97" i="1"/>
  <c r="E98" i="1"/>
  <c r="E99" i="1"/>
  <c r="E100" i="1"/>
  <c r="E101" i="1"/>
  <c r="E102" i="1"/>
  <c r="E104" i="1"/>
  <c r="E105" i="1"/>
  <c r="E106" i="1"/>
  <c r="E107" i="1"/>
  <c r="E108" i="1"/>
  <c r="E109" i="1"/>
  <c r="E110" i="1"/>
  <c r="E111" i="1"/>
  <c r="E112" i="1"/>
  <c r="E113" i="1"/>
  <c r="E114" i="1"/>
  <c r="E115" i="1"/>
  <c r="E122" i="1"/>
  <c r="E116" i="1"/>
  <c r="E117" i="1"/>
  <c r="E118" i="1"/>
  <c r="E120" i="1"/>
  <c r="E123" i="1"/>
  <c r="E121" i="1"/>
  <c r="E124" i="1"/>
  <c r="E125" i="1"/>
  <c r="E127" i="1"/>
  <c r="E128" i="1"/>
  <c r="E129" i="1"/>
  <c r="E130" i="1"/>
  <c r="E131" i="1"/>
  <c r="E133" i="1"/>
  <c r="E134" i="1"/>
  <c r="E137" i="1"/>
  <c r="E138" i="1"/>
  <c r="E139" i="1"/>
  <c r="E140" i="1"/>
  <c r="E141" i="1"/>
  <c r="E142" i="1"/>
  <c r="E143" i="1"/>
  <c r="E144" i="1"/>
  <c r="E145" i="1"/>
  <c r="E147" i="1"/>
  <c r="E148" i="1"/>
  <c r="E149" i="1"/>
  <c r="E150" i="1"/>
  <c r="E151" i="1"/>
  <c r="E152" i="1"/>
  <c r="E153" i="1"/>
  <c r="E154" i="1"/>
  <c r="E156" i="1"/>
  <c r="E157" i="1"/>
  <c r="E158" i="1"/>
  <c r="E159" i="1"/>
  <c r="E165" i="1"/>
  <c r="E166" i="1"/>
  <c r="E167" i="1"/>
  <c r="E168" i="1"/>
  <c r="E169" i="1"/>
  <c r="E171" i="1"/>
  <c r="E172" i="1"/>
  <c r="E173" i="1"/>
  <c r="E174" i="1"/>
  <c r="E176" i="1"/>
  <c r="E177" i="1"/>
  <c r="E178" i="1"/>
  <c r="E179" i="1"/>
  <c r="E180" i="1"/>
  <c r="E181" i="1"/>
  <c r="E182" i="1"/>
  <c r="E183" i="1"/>
  <c r="E184" i="1"/>
  <c r="E3" i="1"/>
  <c r="A7" i="1"/>
  <c r="J2" i="1"/>
  <c r="A28" i="1"/>
  <c r="A81" i="1"/>
  <c r="A80" i="1"/>
  <c r="A79" i="1"/>
  <c r="A29" i="1"/>
  <c r="A31" i="1"/>
  <c r="A32" i="1"/>
  <c r="A30" i="1"/>
  <c r="A33" i="1"/>
  <c r="A34" i="1"/>
  <c r="A35" i="1"/>
  <c r="A36" i="1"/>
  <c r="A37" i="1"/>
  <c r="A38" i="1"/>
  <c r="A41" i="1"/>
  <c r="A42" i="1"/>
  <c r="A39" i="1"/>
  <c r="A43" i="1"/>
  <c r="A44" i="1"/>
  <c r="A45" i="1"/>
  <c r="A46" i="1"/>
  <c r="A49" i="1"/>
  <c r="A51" i="1"/>
  <c r="A52" i="1"/>
  <c r="A53" i="1"/>
  <c r="A54" i="1"/>
  <c r="A66" i="1"/>
  <c r="A55" i="1"/>
  <c r="A56" i="1"/>
  <c r="A67" i="1"/>
  <c r="A68" i="1"/>
  <c r="A57" i="1"/>
  <c r="A58" i="1"/>
  <c r="A59" i="1"/>
  <c r="A60" i="1"/>
  <c r="A61" i="1"/>
  <c r="A62" i="1"/>
  <c r="A63" i="1"/>
  <c r="A69" i="1"/>
  <c r="A70" i="1"/>
  <c r="A64" i="1"/>
  <c r="A71" i="1"/>
  <c r="A65" i="1"/>
  <c r="A50" i="1"/>
  <c r="A72" i="1"/>
  <c r="A73" i="1"/>
  <c r="A74" i="1"/>
  <c r="A75" i="1"/>
  <c r="A82" i="1"/>
  <c r="A76" i="1"/>
  <c r="A83" i="1"/>
  <c r="A77" i="1"/>
  <c r="A84" i="1"/>
  <c r="A85" i="1"/>
  <c r="A86" i="1"/>
  <c r="A87" i="1"/>
  <c r="A88" i="1"/>
  <c r="A89" i="1"/>
  <c r="A90" i="1"/>
  <c r="A91" i="1"/>
  <c r="A92" i="1"/>
  <c r="A94" i="1"/>
  <c r="A100" i="1"/>
  <c r="A95" i="1"/>
  <c r="A96" i="1"/>
  <c r="A101" i="1"/>
  <c r="A97" i="1"/>
  <c r="A98" i="1"/>
  <c r="A99" i="1"/>
  <c r="A102" i="1"/>
  <c r="A103" i="1"/>
  <c r="A108" i="1"/>
  <c r="A109" i="1"/>
  <c r="A110" i="1"/>
  <c r="A111" i="1"/>
  <c r="A124" i="1"/>
  <c r="A125" i="1"/>
  <c r="A104" i="1"/>
  <c r="A112" i="1"/>
  <c r="A105" i="1"/>
  <c r="A113" i="1"/>
  <c r="A114" i="1"/>
  <c r="A115" i="1"/>
  <c r="A122" i="1"/>
  <c r="A116" i="1"/>
  <c r="A106" i="1"/>
  <c r="A107" i="1"/>
  <c r="A117" i="1"/>
  <c r="A118" i="1"/>
  <c r="A120" i="1"/>
  <c r="A123" i="1"/>
  <c r="A126" i="1"/>
  <c r="A131" i="1"/>
  <c r="A128" i="1"/>
  <c r="A129" i="1"/>
  <c r="A130" i="1"/>
  <c r="A127" i="1"/>
  <c r="A132" i="1"/>
  <c r="A134" i="1"/>
  <c r="A137" i="1"/>
  <c r="A138" i="1"/>
  <c r="A139" i="1"/>
  <c r="A133" i="1"/>
  <c r="A144" i="1"/>
  <c r="A140" i="1"/>
  <c r="A141" i="1"/>
  <c r="A142" i="1"/>
  <c r="A145" i="1"/>
  <c r="A143" i="1"/>
  <c r="A146" i="1"/>
  <c r="A147" i="1"/>
  <c r="A149" i="1"/>
  <c r="A148" i="1"/>
  <c r="A150" i="1"/>
  <c r="A151" i="1"/>
  <c r="A152" i="1"/>
  <c r="A154" i="1"/>
  <c r="A153" i="1"/>
  <c r="A155" i="1"/>
  <c r="A165" i="1"/>
  <c r="A166" i="1"/>
  <c r="A167" i="1"/>
  <c r="A168" i="1"/>
  <c r="A169" i="1"/>
  <c r="A171" i="1"/>
  <c r="A172" i="1"/>
  <c r="A173" i="1"/>
  <c r="A174" i="1"/>
  <c r="A156" i="1"/>
  <c r="A157" i="1"/>
  <c r="A158" i="1"/>
  <c r="A159" i="1"/>
  <c r="A175" i="1"/>
  <c r="A177" i="1"/>
  <c r="A178" i="1"/>
  <c r="A179" i="1"/>
  <c r="A182" i="1"/>
  <c r="A183" i="1"/>
  <c r="A176" i="1"/>
  <c r="A184" i="1"/>
  <c r="A23" i="1"/>
  <c r="A24" i="1"/>
  <c r="A25" i="1"/>
  <c r="A26" i="1"/>
  <c r="A27" i="1"/>
  <c r="A21" i="1"/>
  <c r="A22" i="1"/>
  <c r="A5" i="1"/>
  <c r="A8" i="1"/>
  <c r="A9" i="1"/>
  <c r="A10" i="1"/>
  <c r="A11" i="1"/>
  <c r="A17" i="1"/>
  <c r="A18" i="1"/>
  <c r="A12" i="1"/>
  <c r="A3" i="1"/>
  <c r="A20" i="1"/>
  <c r="A13" i="1"/>
  <c r="A14" i="1"/>
  <c r="A15" i="1"/>
  <c r="A16" i="1"/>
  <c r="A4" i="1"/>
  <c r="A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tc={ED72661D-3154-43C1-AD2F-65A548D9A4F4}</author>
    <author>tc={B3CBC07C-0006-41A9-8458-0933087FA40D}</author>
    <author>tc={90FF8041-FD95-410A-982D-315C07A47EB1}</author>
    <author>tc={CF648CCF-ACF2-404C-A800-38BF070376DB}</author>
  </authors>
  <commentList>
    <comment ref="J4" authorId="0" shapeId="0" xr:uid="{ED72661D-3154-43C1-AD2F-65A548D9A4F4}">
      <text>
        <t>[Threaded comment]
Your version of Excel allows you to read this threaded comment; however, any edits to it will get removed if the file is opened in a newer version of Excel. Learn more: https://go.microsoft.com/fwlink/?linkid=870924
Comment:
    Could also be used for 8-1-2-U-C</t>
      </text>
    </comment>
    <comment ref="J11" authorId="1" shapeId="0" xr:uid="{B3CBC07C-0006-41A9-8458-0933087FA40D}">
      <text>
        <t>[Threaded comment]
Your version of Excel allows you to read this threaded comment; however, any edits to it will get removed if the file is opened in a newer version of Excel. Learn more: https://go.microsoft.com/fwlink/?linkid=870924
Comment:
    @Aiden Taylor If you know of an easy way to print the four bullet items in the BEGIN_PGML part of this question, that would be great.
Reply:
    I believe there is a short-hand way of generating each bullet point for checkbox questions, but I'll look into how to do it for drop down questions as well (or just for general bullet point questions). In the mean-time, I created a copy of your file and created a subroutine to replace your four DropDown objects as an example of how subroutines/functions work (and I think it is giving me the right answers to the question). Regardless, I'll get back to you once I figure out the BEGIN_PGML part.
Reply:
    Great! Thanks!</t>
      </text>
    </comment>
    <comment ref="I24" authorId="2" shapeId="0" xr:uid="{90FF8041-FD95-410A-982D-315C07A47EB1}">
      <text>
        <t>[Threaded comment]
Your version of Excel allows you to read this threaded comment; however, any edits to it will get removed if the file is opened in a newer version of Excel. Learn more: https://go.microsoft.com/fwlink/?linkid=870924
Comment:
    I manually coded some cases into this problem since I wanted it to be able to handle no solutions, integer solutions, and rarely irrational solutions... there is probably a smarter way to do this by first choosing the discriminant and then breaking up the rest of the coefficients, but I got far enough down this path that I just made it work.</t>
      </text>
    </comment>
    <comment ref="K149" authorId="3" shapeId="0" xr:uid="{CF648CCF-ACF2-404C-A800-38BF070376D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@Claudia Mahler I just added a new question that you might want to consider for CLO 12
Reply:
    Thanks, Jerrod! I think that might fit in one of the WW question banks for CLO 12</t>
      </text>
    </comment>
  </commentList>
</comments>
</file>

<file path=xl/sharedStrings.xml><?xml version="1.0" encoding="utf-8"?>
<sst xmlns="http://schemas.openxmlformats.org/spreadsheetml/2006/main" count="1446" uniqueCount="1080">
  <si>
    <t>CLO Identifier (auto)</t>
  </si>
  <si>
    <t>CLO Number (edit)</t>
  </si>
  <si>
    <t>Bloom's Taxonomy (R=Remembering, U=Understanding, Ap=Applying, An=Analyzing, E=Evaluating, C=Creating)</t>
  </si>
  <si>
    <t>CLO Level (C=core, I=intermediate, A=advanced) (edit)</t>
  </si>
  <si>
    <t>WeBWork Level Classification of CLO</t>
  </si>
  <si>
    <t>Course Learning Outcome (CLO)</t>
  </si>
  <si>
    <t>Notes / topics / questions</t>
  </si>
  <si>
    <t>Week / Meeting</t>
  </si>
  <si>
    <t>WeBWork 1 (question name and type)</t>
  </si>
  <si>
    <t>WeBWork 2  (question name and type)</t>
  </si>
  <si>
    <t xml:space="preserve"> WeBWork 3  (question name and type) ... 2 Q's each should be enough for most outcomes ...</t>
  </si>
  <si>
    <t>WeBWork 4</t>
  </si>
  <si>
    <t>1-0-0</t>
  </si>
  <si>
    <t>C</t>
  </si>
  <si>
    <t>work with functions algebraically, graphically and symbolically; identify and interpret key features of functions (slope, intercepts, equations)</t>
  </si>
  <si>
    <t>High-level outcome (for course outline); short name: #1-0-0-C; functions</t>
  </si>
  <si>
    <t>No. of 1-0-0-C problems  --- &gt;&gt;&gt;</t>
  </si>
  <si>
    <t>1-7-0</t>
  </si>
  <si>
    <t>A</t>
  </si>
  <si>
    <t>create functions that satisfy a given set of properties</t>
  </si>
  <si>
    <t>W1-M2</t>
  </si>
  <si>
    <t>1-1-0</t>
  </si>
  <si>
    <t>An</t>
  </si>
  <si>
    <t>interpret key features and properties from the graph of a function</t>
  </si>
  <si>
    <t>W1-M1</t>
  </si>
  <si>
    <t>1-1-0-An-C-interpret-graph1.pg; numeric and intervals; no randomization</t>
  </si>
  <si>
    <t>1-1-0-An-C-graph-interval-jms.pg; interval list; read intervals of increase/decrease off the graph of a random parabola</t>
  </si>
  <si>
    <t>1-1-0-An-C-quad-linear-jms.pg; drop down; determine if graph is a linear or quadratic, if linear determine if slope is +/-</t>
  </si>
  <si>
    <t>1-2-0</t>
  </si>
  <si>
    <t>switch between different representations of functions</t>
  </si>
  <si>
    <t>1-2-0-An-C-mc1-jms.pg; multiple choice; set builder and function notation</t>
  </si>
  <si>
    <t>1-2-0-An-C-fcn-sub-jms.pg; function answer; make subsitutions of numbrers and variables in function</t>
  </si>
  <si>
    <t>1-3-1</t>
  </si>
  <si>
    <t>Ap</t>
  </si>
  <si>
    <t>solve problems and make calculations involving trigonometric functions</t>
  </si>
  <si>
    <t>1-3-1-Ap-C-eval-cos-sin-AT.pg</t>
  </si>
  <si>
    <t>1-3-1-AP-C-solve-for-theta-AT.pg</t>
  </si>
  <si>
    <t>1-3-2</t>
  </si>
  <si>
    <t>solve problems and make calculations involving logarithmic functions</t>
  </si>
  <si>
    <t>1-3-2-Ap-C-log-to-exp-jms.pg; numeric and function; given log equation write exponential equation</t>
  </si>
  <si>
    <t>1-3-2-Ap-C-exp-to-log-jms.pg; numeric and function; givenexp equation write logarithm</t>
  </si>
  <si>
    <t>1-3-3</t>
  </si>
  <si>
    <t>solve problems and make calculations involving exponential functions</t>
  </si>
  <si>
    <t>1-3-4</t>
  </si>
  <si>
    <t>solve problems and make calculations involving piecewise functions</t>
  </si>
  <si>
    <t>1-3-5</t>
  </si>
  <si>
    <t>solve problems and make calculations involving polynomial and algebraic functions</t>
  </si>
  <si>
    <t>1-4-0</t>
  </si>
  <si>
    <t>U</t>
  </si>
  <si>
    <t xml:space="preserve">identify different classes of common functions </t>
  </si>
  <si>
    <t>1-4-0-U-C-rational1-jms.pg; multiselect; choose rational functions</t>
  </si>
  <si>
    <t>1-4-0-U-C-drop-down-jms_1.pg; drop down; choose best description of type of function</t>
  </si>
  <si>
    <t>1-6-0</t>
  </si>
  <si>
    <t>identify components of a function (domain, codomain, definition, image)</t>
  </si>
  <si>
    <t>1-6-0-U-C-rational-dom-jms.pg; interval (union); find domain of rational function</t>
  </si>
  <si>
    <t>1-6-0-U-C-alg-dom-dg.pg; interval (union); find domain of algebraic function (Danny's template example)</t>
  </si>
  <si>
    <t>1-1-1</t>
  </si>
  <si>
    <t>identify the slope and intercept from the graph of a linear function</t>
  </si>
  <si>
    <t>1-1-1-U-C-slope-int-1-jms.pg; numeric; identify slope, x and y intercepts from a random linear graph (positive slope)</t>
  </si>
  <si>
    <t>1-1-1-U-C-slope-int-2-jms.pg; numeric; identify slope, x intercepts from a random linear graph + calculuate y-int (negative slope)</t>
  </si>
  <si>
    <t>1-10-0</t>
  </si>
  <si>
    <t>identify when a function is invertible</t>
  </si>
  <si>
    <t>1-1-3</t>
  </si>
  <si>
    <t>interpret the meaning of a slope algebraically in terms of change in dependent/independent variables</t>
  </si>
  <si>
    <t>e-g-, if m = 3 and Delta x = 2, then Delta y = 6</t>
  </si>
  <si>
    <t>1-1-3-U-C-delta-slope-jms.pg; numeric; random line, calculate change in x and y given random changes (one increase, one decrease) in two parts</t>
  </si>
  <si>
    <t>1-1-3-U-C-point-slope-jms.pg; numeric and function; find slope and equation of line joining two randomly generated points</t>
  </si>
  <si>
    <t>1-1-4</t>
  </si>
  <si>
    <t>interpret the meaning of an intercept algebraically in terms of solutions to equations</t>
  </si>
  <si>
    <t>e-g-, if the x intercept of y=f(x) is x = 2, then f(2) = 0</t>
  </si>
  <si>
    <t>1-1-4-U-C-num-int-jms.pg; numeric; fill in interpretation of x and y intercepts given unknown function and random values</t>
  </si>
  <si>
    <t>1-1-4-U-C-int-from-eq-jms.pg; drop down + numeric; given equations identify intercepts</t>
  </si>
  <si>
    <t>1-5-0</t>
  </si>
  <si>
    <t>E</t>
  </si>
  <si>
    <t>I</t>
  </si>
  <si>
    <t>identify appropriate types of functions for various calculus problems/applications</t>
  </si>
  <si>
    <t>1-2-1</t>
  </si>
  <si>
    <t>identify appropriate representations of functions for communicating information</t>
  </si>
  <si>
    <t>1-2-2</t>
  </si>
  <si>
    <t>conceptualize functions as transformations or operations</t>
  </si>
  <si>
    <t>1-8-0</t>
  </si>
  <si>
    <t>do math with bad pictures (develop intuitive sense of salient features of a function graphically)</t>
  </si>
  <si>
    <t>2-0-0</t>
  </si>
  <si>
    <t>develop fluency working with variables and equations using algebra to solve equations</t>
  </si>
  <si>
    <t>High-level outcome (for course outline); short name #2-0-0-C; equations ** This really should be a course "in-come"</t>
  </si>
  <si>
    <t>No. of 2-0-0-C problems  --- &gt;&gt;&gt;</t>
  </si>
  <si>
    <t>Make 3 each here!</t>
  </si>
  <si>
    <t>2-1-0</t>
  </si>
  <si>
    <t>factor polynomial functions of degree less than or equal to 3</t>
  </si>
  <si>
    <t>2-1-0-Ap-C-factor-root-jms.pg; numeric list; factor non-monic quadratic to find distinct roots</t>
  </si>
  <si>
    <t>2-1-0-Ap-C-factor-root-v2-jms.pg; numeric list; factor monic cubic with root x=0 to find distinct roots of resulting monic quadratic</t>
  </si>
  <si>
    <t>2-1-0-Ap-C-factor-blanks-jms.pg; numeric; fill-in coefficients to factor quadratic based on a pre-determined pattern (x+b)(cx+a)</t>
  </si>
  <si>
    <t>2-1-0-Ap-C-factor-blanks-v2-jms.pg; numeric; fill-in variable or coefficients to factor cubic based on a pre-determined pattern x(x+b)(cx+a)</t>
  </si>
  <si>
    <t>2-2-0</t>
  </si>
  <si>
    <t>solve equations involving common functions in the course</t>
  </si>
  <si>
    <t>2-2-0-Ap-C-quad-log-jms.pg; numeric list; solve quadratic equation with log variable</t>
  </si>
  <si>
    <t>2-2-0-Ap-C-abs-quad-jms.pg; numeric list; solve equation with absolute value and quadratic</t>
  </si>
  <si>
    <t>2-2-1</t>
  </si>
  <si>
    <t>solve equations involving polynomial functions</t>
  </si>
  <si>
    <t>2-2-1-Ap-C-poly-int-jms.pg; list of points; find intersection point of quadratic and linear; sometimes no solution, integer solutions, one case of irrational solutions</t>
  </si>
  <si>
    <t>2-2-1-Ap-C-poly-int-v2-jms.pg; numeric list; find intersection to two quadratics; integer solutions (sometimes large) or no solutions; revised version of other problem</t>
  </si>
  <si>
    <t>2-2-1-Ap-C-quad-lin-int-jms.pg; find intersection point of quadratic and linear; integer solutions or no solutions; same problem as poly-int-v2 but with f and g changed</t>
  </si>
  <si>
    <t>2-2-2</t>
  </si>
  <si>
    <t>solve equations involving logarithmic and exponential functions</t>
  </si>
  <si>
    <t>2-2-2-Ap-C-quad-log-dist-jms.pg; numeric; solve quadratic equation with log variable with distinct roots ordered large to small</t>
  </si>
  <si>
    <t>2-2-2-Ap-C-exp-log-jms.pg; list; no solutions to a log/exp equation</t>
  </si>
  <si>
    <t>2-2-2-Ap-C-lin-log-jms.pg; numeric list; linear factor with log variable; x=0 not in the domain so only one solution</t>
  </si>
  <si>
    <t>2-2-3</t>
  </si>
  <si>
    <t>solve equations involving trigonometric functions (with or without domain restrictions)</t>
  </si>
  <si>
    <t>2-2-3-Ap-C-sin-eq-jms.pg; numeric or numeric list; solve sin(x) = sin(2x) or sin(x) = sin(3x) for x in (0,pi)</t>
  </si>
  <si>
    <t>2-2-3-Ap-C-cos-eq-jms.pg; numeric; solve cos(x) = cos(2x) or cos(x) = cos(3x) for x in (0,pi)</t>
  </si>
  <si>
    <t>2-2-3-Ap-C-trig-x-jms.pg; numeric or numeric list; solve either x+sin(2x) = x or x+cos(2x) = x for x in (0,pi)</t>
  </si>
  <si>
    <t>2-3-0</t>
  </si>
  <si>
    <t>translate between symbolic equations and information presented in other ways</t>
  </si>
  <si>
    <t>249-2-0-0-C/2-3-0-An-C/2-3-0-An-C-tnslt-ineq-cmm.pg; multiple choice; sentence invovling sqr rt, inequality, and multiplication with two variables x and y; translate sentence into symbolic equation .</t>
  </si>
  <si>
    <t xml:space="preserve">249-2-0-0-C/2-3-0-An-C/2-3-0-An-C-tnslt-eqtn-cmm.pg; multiple choice; symbolic euqation given with inequality, root, and power; translate symbolic equation into sentence. </t>
  </si>
  <si>
    <t>2-3-1</t>
  </si>
  <si>
    <t>represent solutions to equations graphically (intersections, roots, intercepts)</t>
  </si>
  <si>
    <t>3-0-0</t>
  </si>
  <si>
    <t>identify appropriate calculus concept or tool to solve a variety of abstract and concrete problems</t>
  </si>
  <si>
    <t>High-level outcome (for course outline); short name #3-0-0-C; problem-solving</t>
  </si>
  <si>
    <t>No. of 3-0-0-C problems  --- &gt;&gt;&gt;</t>
  </si>
  <si>
    <t>3-3-0</t>
  </si>
  <si>
    <t>create problems that do/do not involve calculus in their solution</t>
  </si>
  <si>
    <t>3-1-0</t>
  </si>
  <si>
    <t>translate a word problem into an abstract calculus problem</t>
  </si>
  <si>
    <t>3-1-0-Ap-I-opt-funct-jms.pg; function, given an optimization problem, choose the correct objective function to optimize; drop down; choose the type of problem this is (to see if learners would know where to look for additional information on how to solve...)</t>
  </si>
  <si>
    <t>3-1-0-Ap-I-approx-funct-jms.pg; given a numerical approximation problem, choose a function to use for a Taylor Polynomial calcultation at a given centre; choose the type of problem from a drop down</t>
  </si>
  <si>
    <t>3-2-0</t>
  </si>
  <si>
    <t>4 or 5</t>
  </si>
  <si>
    <t>identify practical, concrete situations where calculus is a useful tool</t>
  </si>
  <si>
    <t>WeBWork level 5 = word problems</t>
  </si>
  <si>
    <t>3-4-0</t>
  </si>
  <si>
    <t>choose an appropriate approximation technique to approximate values of functions, roots of functions, or (percentage) change in functions</t>
  </si>
  <si>
    <t>values of functions (linear or taylor polynomial), roots of functions (IVT or Newton's method), change in a function (differentials)</t>
  </si>
  <si>
    <t>3-4-0-E-I-approx-choice-jms.pg; drop down, choosing approximation method given two specific approximation problems</t>
  </si>
  <si>
    <t>3-4-0-E-I-approx-choice-v2-jms.pg (versioned question); drop down, choosing approximation method given two specific approximation problems</t>
  </si>
  <si>
    <t>3-5-1</t>
  </si>
  <si>
    <t>choose an appropriate optimization technique to solve abstract optimization problems</t>
  </si>
  <si>
    <t>Make sure students know the language "Closed Interval Method" and "Global Interval Method" in the case of one critical point for optimization problems, given domain and number of critical points should influence choice of method</t>
  </si>
  <si>
    <t>3-5-1-Ap-I-opt-choice-jms.pg; drop down (yes/no); given an abstract or standard box optimization problem, determine if the Closed Interval Method can be used.</t>
  </si>
  <si>
    <t>3-5-1-Ap-I-second-der-test-jms.pg; drop down and numeric; given data about two critical points choose correct method and conclusion abuout an extrema</t>
  </si>
  <si>
    <t>3-5-1-Ap-I-first-der-test-jms.pg; drop down and numeric; given data about one critical and intervals choose correct method and conclusion abuout an extrema between First Derivative Test / Global Interval Method</t>
  </si>
  <si>
    <t>3-5-2</t>
  </si>
  <si>
    <t>choose an appropriate optimization technique to solve optimization word problems</t>
  </si>
  <si>
    <t>will typically involve finding a domain first, then doing above</t>
  </si>
  <si>
    <t>3-6-0</t>
  </si>
  <si>
    <t>choose between using derivatives or antiderivatives (integrals) to solve problems involving rates of change</t>
  </si>
  <si>
    <t>3-6-0-Ap-I-drop-down-jms.pg; drop down; generic problem description choose "derivative" "integral" or "no calculus required"</t>
  </si>
  <si>
    <t>3-6-0-Ap-I-drop-down-detail-jms.pg; drop down; specific/detailed problem description choose "derivative" "indefinite integral" or "definite integral"</t>
  </si>
  <si>
    <t>3-7-0</t>
  </si>
  <si>
    <t>identify when a major "value" theorem (EVT, IVT, MVT) can be used to solve a problem</t>
  </si>
  <si>
    <t>3-7-0-Ap-I-drop-down-jms.pg; drop down; choose correct name for each of the value theorems with statements given</t>
  </si>
  <si>
    <t>3-7-0-Ap-I-value-choice-jms.pg; drop-down; randomly chooses on of the three problems to the right of this entry</t>
  </si>
  <si>
    <t>3-7-0-Ap-I-mvt-jms.pg; drop down; given abstract problem choose the best theorem to help solve the problem (MVT)</t>
  </si>
  <si>
    <t>3-7-0-Ap-I-ivt-jms.pg; drop down; given abstract problem choose the best theorem to help solve the problem (IVT)</t>
  </si>
  <si>
    <t>4-0-0</t>
  </si>
  <si>
    <t>use a variety of approximation techniques to solve abstract and concrete approximation problems</t>
  </si>
  <si>
    <t>High-level outcome (for course outline); short name #4-0-0-I; approximation</t>
  </si>
  <si>
    <t>No. of 4-0-0-C problems  --- &gt;&gt;&gt;</t>
  </si>
  <si>
    <t>4-1-1</t>
  </si>
  <si>
    <t>implement linear approximation to approximate numerical values of a function</t>
  </si>
  <si>
    <t>4-1-1-Ap-C-root-jms.pg.; numeric; linear approximation of a square root of a number given a function and the point to approximate at</t>
  </si>
  <si>
    <t>4-1-1-Ap-C-power-jms.pg.tmp; numeric; approximate (integer + x/100)^power with linear approximation; no function or point given</t>
  </si>
  <si>
    <t>4-1-1-Ap-C-log-jms.pg; numeric; linear approximation of ln(a+x/100) with a close to 1</t>
  </si>
  <si>
    <t>4-2-1</t>
  </si>
  <si>
    <t>implement Taylor Polynomial approximation to approximate numerical values of a function</t>
  </si>
  <si>
    <t>4-2-1-Ap-C-taylor-poly-approx-AT.pg</t>
  </si>
  <si>
    <t>4-2-2</t>
  </si>
  <si>
    <t>use Taylor's Remainder Theorem to estimate the error in a Taylor Polynomial approximation</t>
  </si>
  <si>
    <t>4-2-2-Ap-I-taylor-remainder-approx-AT.pg</t>
  </si>
  <si>
    <t>4-2-3</t>
  </si>
  <si>
    <t>use Taylor's Remainder Theorem to identify the degree of Taylor Polynomial approximation required to reach a given error threshold</t>
  </si>
  <si>
    <t>4-2-3-Ap-I-taylor-poly-degree-AT.pg</t>
  </si>
  <si>
    <t>4-1-2</t>
  </si>
  <si>
    <t>determine if a linear approximation is an over/under estimate by using the second derivative and concavity</t>
  </si>
  <si>
    <t>Need to know about concavity to do first two problems; last problem can be done earlier since a graph is given</t>
  </si>
  <si>
    <t>4-1-2-E-I-poly-over-under-jms.pg; drop down; determine over or under value of odd deg polynomial  for point left/right of IP; solution using second derivative</t>
  </si>
  <si>
    <t>4-1-2-E-I-abstract-over-under-jms.pg; drop down; determine over or under for unknown function given information about f' and f'' on an interval; solution uses concavity</t>
  </si>
  <si>
    <t>4-1-2-E-I-graph-overunder-jms.pg; multiple choice and drop down; given graph choose correct linear approximation and determine if over/under estimate</t>
  </si>
  <si>
    <t>4-3-1</t>
  </si>
  <si>
    <t>implement differential approximation to estimate the change in a function given the change in the independent/dependent variable</t>
  </si>
  <si>
    <t>Related to 11-5-4-Ap-C; using differentials in the context of integration by substitution</t>
  </si>
  <si>
    <t>4-3-1-Ap-I-demand-change-jms.pg; numeric; given demand function find approximate change in demand given a price decrease</t>
  </si>
  <si>
    <t>4-3-1-Ap-I-fcn-change1-jms.pg; function and numeric; compute differential of polynomial and then compute approximate change and actual change in f given initial and final values of x</t>
  </si>
  <si>
    <t>4-3-1-Ap-I-fcn-change-2-jms.pg; fundtion and numeric; given initial point and change in x, find differential, approximate change in x and actual change in x.</t>
  </si>
  <si>
    <t>4-3-1-Ap-I-fcn-change-3-jms; function and numeric; with a square root of (x-a); differential, approximate change in  f, and actual change in x and f</t>
  </si>
  <si>
    <t>4-3-2</t>
  </si>
  <si>
    <t>implement differential approximation to estimate the percent change in a function given the percent change in the independent variable</t>
  </si>
  <si>
    <t>4-3-2-Ap-I-percent-sphere-jms.pg; numeric; given percent change in surface area of sphere, find corresponding percentage change in radius and volume; phrased as a physics application</t>
  </si>
  <si>
    <t>4-3-2-Ap-I-percent-change-jms; numeric and drop down; given quantity that depends on power of x (pos/neg) and percent change in x, find percent change in A and determine inc/dec</t>
  </si>
  <si>
    <t>4-3-2-Ap-I-percent-change-2-jms.pg; given y = f(x) and percent change in x (inc/dec), determine percent change in y (signed +/-)</t>
  </si>
  <si>
    <t>4-3-3</t>
  </si>
  <si>
    <t>use the Intermediate Value Theorem as a coarse method of approximating roots of functions</t>
  </si>
  <si>
    <t>4-3-3-Ap-I-ivt-mc-jms.pg; multiple choice; given data table choose smallest interval where IVT gives a solution to 0=f(x)</t>
  </si>
  <si>
    <t>4-3-3-Ap-I-ivt-mc-no-sol-jms.pg; same as 4-3-3-Ap-I-ivt-mc-jms.pg; multiple choice; given data table choose smallest interval where IVT gives a solution to 0=f(x) but all function values have the same sign so "none of the above" is correct</t>
  </si>
  <si>
    <t>4-4-0</t>
  </si>
  <si>
    <t>use Newton's Method to approximate roots of functions</t>
  </si>
  <si>
    <t xml:space="preserve">4-4-0-Ap-C-nm-exp-jms.pg; numeric; 3 iterations of Newton's Method. Similar equation to one that appears in a 3-0-0-C question where they need to choose the method. </t>
  </si>
  <si>
    <t>4-4-0-Ap-C-nm-cubic-jms.pg; three iterations of Newton's Method to approximate root of a cubic. Similar to one that appears in a 3-0-0-C question where they need to choose the method.</t>
  </si>
  <si>
    <t>4-4-0-Ap-C-nm-log-jms.pg; numeric; 3 iterations of Newton's Method; have to rearrange to get function first; will always be accurate to 5 decimal places after 4 iterations (highlighted in the solution)</t>
  </si>
  <si>
    <t>4-4-1</t>
  </si>
  <si>
    <t>evaluate situations where Newton's Method fails to approximate a root of a function due to a poor initial estimate (e.g., oscillation between two roots), arriving at a derivative that is equal to zero, or the fact that there is no root</t>
  </si>
  <si>
    <t>5-0-0</t>
  </si>
  <si>
    <t>explain the concept of "limit" and how it arises in various calculus concepts; in particular continuity and the Intermediate Value Theorem</t>
  </si>
  <si>
    <t>High-level outcome (for course outline); short name: #5-0-0-C; limits</t>
  </si>
  <si>
    <t>No. of 5-0-0-C problems  --- &gt;&gt;&gt;</t>
  </si>
  <si>
    <t>5-6-3</t>
  </si>
  <si>
    <t>explore how the assumption of continuity is necessary to apply the Intermediate Value Theorem</t>
  </si>
  <si>
    <t>5-1-1</t>
  </si>
  <si>
    <t>R</t>
  </si>
  <si>
    <t>state a precise definition of what it means for a limit to exist</t>
  </si>
  <si>
    <t>Any quiz should only have at most one of the following questions; solution not provided</t>
  </si>
  <si>
    <t>5-1-1-R-C-defn-mc-jms.pg; mutliple choice; definition of a limit; abstract function random explicit value</t>
  </si>
  <si>
    <t>5-1-1-R-C-defn-inf-mc-jms.pg; multiple choice; definition of a limit at infinity; abstract function random explicit value</t>
  </si>
  <si>
    <t>5-1-1-R-C-defn-neg-inf-mc-jms.pg; multiple choice; definition of a limit at infinity; abstract function random explicit value</t>
  </si>
  <si>
    <t>5-1-1-R-C-defn-inf-lim-mc-jms.pg; multiple choice, definition of infinite limit; abstract function random value to approach</t>
  </si>
  <si>
    <t>5-2-1</t>
  </si>
  <si>
    <t>determine if the limit of a function (including piecewise) exists graphically</t>
  </si>
  <si>
    <t>5-2-1-An-C-limit-graph-1-jms.pg; numeric; randomly generated graph of piecewise function; either asks about one-sided and two-sided limits at -2 or 2; two-sided limit may or may not exist (getting at notational issues with +/- 2 and one-sided)</t>
  </si>
  <si>
    <t>5-2-1-An-C-limit-graph-2-jms.pg; numeric; one-sided limits, two-sided limit DNE, asks for value of function at -3 or 1; randomly generated piecewie function graph given</t>
  </si>
  <si>
    <t>5-2-1-An-C-limit-graph-3-jms.pg; graph with a removable discontinuity; asks for two-sided limit, value of the function; and either the right or left limit at a point with a jump discontintuity</t>
  </si>
  <si>
    <t>5-2-2</t>
  </si>
  <si>
    <t>defermine if the limit of a function exists analytically/algebraically</t>
  </si>
  <si>
    <t>5-2-2-An-C-compute-limits-1-jms.pg; numeric; two limits; both exist; one direct subsitution (Danny's template); one one-sided factor and cancel with an absolute value to deal with</t>
  </si>
  <si>
    <t>5-2-2-An-C-compute-limits-2-jms.pg; numeric; ratio of quadratics (answer is always 0); absolute value two-sided (answer is always DNE)</t>
  </si>
  <si>
    <t>5-2-2-An-C-compute-limits-3-inf-jms.pg; reciprocal of a difference of squares; one-sided limits and two sided; one sided will be +/- inf and two sided will not exist</t>
  </si>
  <si>
    <t>5-2-3</t>
  </si>
  <si>
    <t>determine if the limit of a piecewise function exists analytically</t>
  </si>
  <si>
    <t>5-2-3-An-C-pw-limit-1-jms.pg; numeric; piecewise function with two pieces; compute two one-sided limits always using two different pieces</t>
  </si>
  <si>
    <t>5-2-3-An-C-pw-limit-2-jms.pg; numeric; piecewise function (similar to last example); compute one and two sided limits at one point; two sided limit may or may not exist (exists ~15% of cases)</t>
  </si>
  <si>
    <t>5-2-3-An-C-pw-limit-3-jms.pg; numeric; piecewise funciton with 3 pieces; two two-sided limits;  first limit exists 33% of the time; second exists 50% of the time</t>
  </si>
  <si>
    <t>5-3-1</t>
  </si>
  <si>
    <t>determine if L'Hopital's Rule can be applied to compute a given limit</t>
  </si>
  <si>
    <t>L'Hôpital's Rule will be covered later in the semester than other limit problems</t>
  </si>
  <si>
    <t>5-3-1-U-C-ms-lhop-jms.pg; multiselect; choose limits where L'Hopital's Rule can be applied</t>
  </si>
  <si>
    <t>5-3-1-U-C-ms-lhop-v2-jms.pg; multiselect; choose limits where L'Hopital's Rule can be applied</t>
  </si>
  <si>
    <t>5-3-2</t>
  </si>
  <si>
    <t>use L'Hopital's Rule to compute a limit of Type 0/0 or infinity/infinity</t>
  </si>
  <si>
    <t>5-3-2-Ap-C-compute-lhop-1-jms.pg; numeric; two limits; one type 0/0 and one inf/inf; second is always 0</t>
  </si>
  <si>
    <t>5-3-2-Ap-C-compute-lhop-2-jms.pg; numeric; both exist; both type 0/0; need to use L'Hôpital twice for second limit</t>
  </si>
  <si>
    <t>5-3-2-Ap-C-compute-lhop-3-jms.pg ; numeric; Both type inf/inf but L'Hoptial is not the best approach; algebraic funciton sqrt(x^2)/x to pm infty; solution does not use L'Hopital</t>
  </si>
  <si>
    <t>5-3-5</t>
  </si>
  <si>
    <t>recognize that L'Hoptial's Rule has been applied incorrectly in a given calculation</t>
  </si>
  <si>
    <t>5-4-1</t>
  </si>
  <si>
    <t>explain the relationship between limits and vertical/horizontal asymptotes of a function</t>
  </si>
  <si>
    <t>5-4-1-U-C-asymp-dd-jms.pg; drop down and numeric; given information about two limits choose if funciton has a horizontal/vertical asymptote; choose equation as x/y = numeric blank</t>
  </si>
  <si>
    <t>5-4-1-U-C-asymp-num-dd-jms.pg; given simple function; compute two limits and identify type of asymptote and equation; simiilar to other quesiton here but adds one additional step but less versioning</t>
  </si>
  <si>
    <t>5-4-2</t>
  </si>
  <si>
    <t>identify the vertical/horizontal asmptoes of a function by computing limits</t>
  </si>
  <si>
    <t>5-4-2-Ap-C-asymp-vert-jms.pg; numeric; given rational function identify point where there is a vertical asymptote and compute a one-sided limit; identify a point where the funciton is undefined but there is no vertical asymptote</t>
  </si>
  <si>
    <t>5-4-2-Ap-C-asymp-horiz-jms.pg; numeric; given rational function with equal largest power in numerator and denominator find limit at +/- infinity and state equation of horizontal asymptote.</t>
  </si>
  <si>
    <t>5-4-2-Ap-C-asymp-horiz-2-jms.pg; numeric; compute limit at infinity of function with exp(-x) and state horizontal asymptote equation y = L</t>
  </si>
  <si>
    <t>5-4-5</t>
  </si>
  <si>
    <t>recognize that a function may "cross" its horizontal asymptotes</t>
  </si>
  <si>
    <t>5-4-5-U-C-t-f-asmp-1-jms.pg; drop down with graph of function (sine) and asymptote; true or false limit at infinity (Squeeze Theorem) and statement about horizontal asymptote</t>
  </si>
  <si>
    <t>5-4-5-U-C-t-f-asmp-2-jms.pg; drop down with graph of function (cosine) and asymptote; true or false limit at infinity (Squeeze Theorem) and statement about horizontal asymptote</t>
  </si>
  <si>
    <t>5-5-0</t>
  </si>
  <si>
    <t>state a precise definition of what it means for a function to be continuous at a point</t>
  </si>
  <si>
    <t>5-5-0-R-C-cont-def-dd-jms.pg; drop down and numeric; table of values given for a function and continuity at a point definition is asked for</t>
  </si>
  <si>
    <t>5-5-1</t>
  </si>
  <si>
    <t>recognize types of discontinuities  (removable, jump, infinite) given the graph of a function</t>
  </si>
  <si>
    <t>Using same graph code as 5-2-1-An-C questions above; question changed to drop-down; two bold questions are likely enough and capture more situations with randomization / question design</t>
  </si>
  <si>
    <t>5-5-1-U-C-discon-graph-1-jms.pg; dropdown; given graph of piecewise function, either has a jump discontinuity or is continuous at +/-2</t>
  </si>
  <si>
    <t>5-5-1-U-C-dicon-graph-2-jms.pg; drop down and numeric; jump and infinite discontinuity at -3 and 1 respectively; also asks for numeric answers for limits from the graph to give the justification for the type of discontinuity.</t>
  </si>
  <si>
    <t>5-5-1-U-C-discon-graph-3-jms.pg; drop down; one point always a removable discontinuity; other point is either a jump, removable or is continuous</t>
  </si>
  <si>
    <t>5-5-2</t>
  </si>
  <si>
    <t>recognize types of discontinuities (removable, jump, infinite) given an algebraic or piecewise expression for a function</t>
  </si>
  <si>
    <t>5-5-2-U-C-pw-cont-1-jms.pg; drop down; piecewise function from 5-2-3-An-C-pw-limit-3-jms.pg; either continuous or  jump discontinuity</t>
  </si>
  <si>
    <t>5-5-2-U-C-pw-cont-2-jms.pg; two pieces; internal to two intervals there are removable / infinite discontinuity (switches places); do not ask about points where pieces join intentionally</t>
  </si>
  <si>
    <t>5-5-4</t>
  </si>
  <si>
    <t>find the intervals where a given piecewise function is continuous</t>
  </si>
  <si>
    <t>5-5-4-Ap-C-cont-int-1-jms.pg; interval; piecewise with two parts; one part has a discontinuity inside its interval of defn; very rarely randomization will make the function continuous at the point where the two parts are joined (a=1,b=6,c=-2,m=3)</t>
  </si>
  <si>
    <t>5-5-4-Ap-C-cont-int-2-jms.pg; interval; piecewise with two functions and a point defined; one piece always infinite discontinuity at 0; at point where functions join could be continuous, removable or jump.</t>
  </si>
  <si>
    <t>5-6-2</t>
  </si>
  <si>
    <t>apply the Intermediate Value Theorem to make conclusion about the roots of continuous functions</t>
  </si>
  <si>
    <t>Question from 4-0-0-C above</t>
  </si>
  <si>
    <t>4-3-3-Ap-I-ivt-mc-jms.pg; problem can also be used for 5-6-2-Ap-C</t>
  </si>
  <si>
    <t>5-3-0</t>
  </si>
  <si>
    <t>state L'Hopital's Rule</t>
  </si>
  <si>
    <t>5-3-3</t>
  </si>
  <si>
    <t>manipulate an indeterminate limit into a Type 0/0 or infinity/infinity limit</t>
  </si>
  <si>
    <t>249-5-0-0-C/5-3-3-Ap-I/5-3-3-Ap-I-manip-lhop-1-cmm.pg; infinity times 0 type; asked to re-write as infinity/infinity form and enter the numerator/denominator expressions</t>
  </si>
  <si>
    <t xml:space="preserve">249-5-0-0-C/5-3-3-Ap-I/5-3-3-Ap-I-manip-lhop-2-cmm.pg; 1^{infinity} type; asked to re-write as infinity/infinity form and enter the numerator/denominator expressions </t>
  </si>
  <si>
    <t>5-3-4</t>
  </si>
  <si>
    <t>use L'Hopital's Rule to compute an indeterminate limit that is not presented as Type 0/0 or infinity/infinity</t>
  </si>
  <si>
    <t>5-3-4-Ap-I-compute-lhop-power-jms.pg; numeric; gives one of two limits of Type 1^inf; one needs L'Hopital once the other twice</t>
  </si>
  <si>
    <t>5-3-4-Ap-I-compute-lhop-product-jms.pg; infinity times 0 type with trig function; answer is nonzero and finite</t>
  </si>
  <si>
    <t>5-3-4-Ap-I-compute-lhop-difference-jms.pg; infinity - infinity; use L'Hop twice; answer is coefficient/2</t>
  </si>
  <si>
    <t>5-5-3</t>
  </si>
  <si>
    <t>state the precise definition of different types of discontinuities (removable, jump, infinite)</t>
  </si>
  <si>
    <t>5-5-3-R-I-discon-defn-jms.pg; drop-down; match name of discontinuity to the given definition</t>
  </si>
  <si>
    <t>5-5-5</t>
  </si>
  <si>
    <t>find unknown constants in a given piecewise function in order to make the function continuous everwhere</t>
  </si>
  <si>
    <t>5-5-5-Ap-I-const-cont-1-jms.pg; numeric list; solve a quadratic to find all values that make a piecewise function continuous at x=-1</t>
  </si>
  <si>
    <t>5-5-5-Ap-I-const-cont-2-jms.pg; solve a quadratic to find all values that make a piecewise function continuous at 2, 3, 4 or 5; allows for a repeated root to be entered only once</t>
  </si>
  <si>
    <t>5-5-5-Ap-I-const-cont-3-jms.pg; numeric; piecewise with three pieces; solve two quadratics with only one root in common that makes the function continuous everwhere</t>
  </si>
  <si>
    <t>5-6-1</t>
  </si>
  <si>
    <t>state the Intermediate Value Theorem</t>
  </si>
  <si>
    <t>6-0-0</t>
  </si>
  <si>
    <t>articulate the concept of the "derivative" in terms of "rates of change" and "slope" and give a precise definition</t>
  </si>
  <si>
    <t>High-level outcome (for course outline); short name #6-0-0-C; derivative</t>
  </si>
  <si>
    <t>No. of 6-0-0-C problems  --- &gt;&gt;&gt;</t>
  </si>
  <si>
    <t>6-1-0</t>
  </si>
  <si>
    <t>interpret rates of change in practical/applied contexts as the derivative of a function</t>
  </si>
  <si>
    <t>6-1-0-U-C-vel-acc-dd-jms.pg; drop-down, numeric and function; derivative of position is velocity; find when velocity is zero for a polynomial position function; asks for acceleration as a funciton of t</t>
  </si>
  <si>
    <t>6-1-0-U-C-reaction-dd-jms.pg; drop-down and interval; given function that describes concentration; need to know/interpret increasing and decreasing in terms of sign; given intervals where inceasing/decreasing given simple derivative with e^x(x-a)</t>
  </si>
  <si>
    <t>6-1-0-U-C-cost-dd-jms.pg; drop down and numeric; marginal cost as inst rate of change; compute change in cost; interpret marginal cost as C(x+1)-C(x)</t>
  </si>
  <si>
    <t>6-1-0-U-C-pop-dd-jms.pg; drop down only; population; includes question about the graph and slope; asks to inperpret population as increasing/decreasing</t>
  </si>
  <si>
    <t>6-1-1</t>
  </si>
  <si>
    <t>state a precise definition of the derivative of a function at a point</t>
  </si>
  <si>
    <t>6-1-1-R-C-defn-pt-1-jms.pg; numeric and function; power of x and sqrt(x)</t>
  </si>
  <si>
    <t>6-1-2</t>
  </si>
  <si>
    <t>state a precise definition of the derivative of a function as a function in its own right</t>
  </si>
  <si>
    <t>6-1-2-R-C-defn-fcn-1-jms.pg; function; +sin(x)  +/-  ln(x)</t>
  </si>
  <si>
    <t>6-1-2-R-C-defn-fcn-2-jms.pg; function; ln(x) - cos(x)</t>
  </si>
  <si>
    <t>6-3-0</t>
  </si>
  <si>
    <t>compute derivatives of simple algebraic functions by using the definition of the derivative</t>
  </si>
  <si>
    <t>6-3-1</t>
  </si>
  <si>
    <t>compute the equation of the tangent line to the graph of a function at a given point</t>
  </si>
  <si>
    <t>6-3-1-Ap-C-fcn-to-line-1-jms.pg; numeric; function; find derivative, find slope, find equation of line and find point on the graph</t>
  </si>
  <si>
    <t>6-3-1-Ap-C-slope-1-jms.pg; numeric; find slope of a secant line and slope of a tangent line to a polynomial (neat: integer points will always give integer slope of secant lines)</t>
  </si>
  <si>
    <t>6-3-1-Ap-C-fcn-to-line-2-jms.pg; numeric; function; GIVEN derivative, slope, equation of tangent line and point; trigonometric function</t>
  </si>
  <si>
    <t>6-9-1</t>
  </si>
  <si>
    <t>interpret "slope of functions" using the derivative analytically/algebraically</t>
  </si>
  <si>
    <t>6-9-1-U-C-line-to-fcn-1-jms.pg; numeric; given equation of the tangent line find f(a) and f'(a)</t>
  </si>
  <si>
    <t>6-9-1-U-C-line-to-fcn-2-jms.pg; numeric; given equation of the tangent line find f(a) and f'(a); includes "pi" in the slope to make it look superficially different</t>
  </si>
  <si>
    <t>6-9-2</t>
  </si>
  <si>
    <t>interpret "slope of functions" using the derivative graphically</t>
  </si>
  <si>
    <t>6-9-2-U-C-der-from-graph-1-jms.pg; numeric; function; given graph of piecewise function (all line segments); find slope and equation of tangent line to one of four points</t>
  </si>
  <si>
    <t>6-9-2-U-C-der-dne-graph-1-jms.pg; numeric list; given piecewise linear graph find points where derivative does not exist, could be 2, 1 or 0 (somtimes hard to see!); hint and solution provided</t>
  </si>
  <si>
    <t>6-9-2-U-C-der-zero-graph-1-jms.pg; numeric list; given graph of a cubic find the two points where the derivative is equal to 0; always two distinct points ... easier to get the graph to appear reasonable this way</t>
  </si>
  <si>
    <t>6-9-2-U-C-der-zero-graph-2-jms.pg; given graph of a cubic find the ONE points where the derivative is equal to 0; ... easier to get the graph to appear reasonable this way</t>
  </si>
  <si>
    <t>6-10-1</t>
  </si>
  <si>
    <t>calculate values and derivatives of the inverse of a function (abstractly)</t>
  </si>
  <si>
    <t>6-10-1-Ap-C-inv-table-1-jms.pg; numeric; given table of values find f^{-1}(pt) and (f^{-1})'(pt); 4 random points; picks one point to ask fo</t>
  </si>
  <si>
    <t>6-10-1-Ap-C-inv-table-2-jms.pg; numeric; fill in table of values for f, f-inv, fder, f-inv-der; some values of the table are unknown; probably HARD because there are 9 blanks and 3 DNE?</t>
  </si>
  <si>
    <t>6-10-1-Ap-C-inv-der-from-graph-1-jms.pg; given graph  of piecewise decreasing function find derivative of function and inverse funciton where you need to use two different line segments for each derivative</t>
  </si>
  <si>
    <t>6-10-2</t>
  </si>
  <si>
    <t>calculate values and derivatives of the inverse of a trigonometric function</t>
  </si>
  <si>
    <t>6-10-2-Ap-C-inv-trig-1-jms.pg; numeric; two values of inverse trig functions one sin^-1(special), cos^-1(sin)=cos^-1(-1), one derivative of sin^-1</t>
  </si>
  <si>
    <t>6-10-2-Ap-C-inv-trig-2-jms.pg; numeric; derivative of cos^-1 and tan^-1 at the same point</t>
  </si>
  <si>
    <t>6-2-0</t>
  </si>
  <si>
    <t>recognize when a given limit is equal to the derivative of a function</t>
  </si>
  <si>
    <t>6-2-1</t>
  </si>
  <si>
    <t>compute sophisticated limits by recognizing them as derivatives and using the derivative to evaluate the limit</t>
  </si>
  <si>
    <t xml:space="preserve">249-6-0-0-C/6-2-1-Ap-I/6-2-1-Ap-I-trkylmt-deriv-1-cmm.pg; find the derivative using the chain rule; involves the sine function; presented as a limit calculation using the limit definition of the derivative. </t>
  </si>
  <si>
    <t>249-6-0-0-C/6-2-1-Ap-I/6-2-1-Ap-I-trkylmt-deriv-2-cmm.pg; find the derivative using the chain rule; involves e^x; presented as a limit calculation using the limit definition of the derivative.</t>
  </si>
  <si>
    <t xml:space="preserve">249-6-0-0-C/6-2-1-Ap-I/6-2-1-Ap-I-trkylmt-deriv-3-cmm.pg; find the derivative using the chain rule; involves a*ln(X); presented as a limit calculation using the limit definition of the derivative. </t>
  </si>
  <si>
    <t>7-0-0</t>
  </si>
  <si>
    <t>identify necessary differentiation rules (product, quotient, chain) and carry out these computations for explicit and abstract functions</t>
  </si>
  <si>
    <t>High-level outcome (for course outline); short name: #7-0-0-C; differentiation rules</t>
  </si>
  <si>
    <t>No. of 7-0-0-C problems  --- &gt;&gt;&gt;</t>
  </si>
  <si>
    <t>7-1-0</t>
  </si>
  <si>
    <t>identify necessary differentiation rules to evaluate the derivative of a given function</t>
  </si>
  <si>
    <t>7-2-1</t>
  </si>
  <si>
    <t>compute the derivative of a function with the product rule</t>
  </si>
  <si>
    <t>7-2-1-Ap-C-simple-prod1-mlb.pg; function; product derive of poly*trig</t>
  </si>
  <si>
    <t>7-2-1-Ap-C-simple-prod2-mlb.pg; function; product derive of poly*trig</t>
  </si>
  <si>
    <t>7-2-1-Ap-C-prod-mlb.pg; function; product derive of (poly+trig)*(poly+exp)</t>
  </si>
  <si>
    <t>7-2-2</t>
  </si>
  <si>
    <t>compute the derivative of a function with the quotient rule</t>
  </si>
  <si>
    <t>7-2-1-Ap-C-simple-quo1-mlb.pg; function; product derive of poly/poly</t>
  </si>
  <si>
    <t>7-2-1-Ap-C-simple-quo2-mlb.pg; function; product derive of poly/trig</t>
  </si>
  <si>
    <t>7-2-1-Ap-C-quo-mlb.pg; function; product derive of (poly + exp)/(poly + trig)</t>
  </si>
  <si>
    <t>7-2-3</t>
  </si>
  <si>
    <t>compute the derivative of a funciton with the chain rule</t>
  </si>
  <si>
    <t>7-2-3-Ap-C-simple-chain1-mlb.pg; function; power rule - poly^int</t>
  </si>
  <si>
    <t>7-2-3-Ap-C-simple-chain2-mlb.pg; function; power rule - tri(poly)</t>
  </si>
  <si>
    <t>7-2-4</t>
  </si>
  <si>
    <t>compute the derivative of a function requiring multiple applications of the product rule</t>
  </si>
  <si>
    <t xml:space="preserve">249-7-0-0-C/7-2-4-Ap-I/7-2-4-Ap-I-mtpl-prod-1-cmm.pg; function; multiple uses of the product rule; trig and polys. </t>
  </si>
  <si>
    <t xml:space="preserve">249-7-0-0-C/7-2-4-Ap-I/7-2-4-Ap-I-mtpl-prod-2-cmm.pg; function; multiple uses of the product rule; e^x and polys. </t>
  </si>
  <si>
    <t xml:space="preserve">249-7-0-0-C/7-2-4-Ap-I/7-2-4-Ap-I-mtpl-prod-3-cmm.pg; function; multiple uses of the product rule to find f'(a) at a given value x=a. </t>
  </si>
  <si>
    <t>7-2-5</t>
  </si>
  <si>
    <t>compute the derivative of a function requiring multiple applications of the chain rule</t>
  </si>
  <si>
    <t xml:space="preserve">249-7-0-0-C/7-2-5-Ap-I/7-2-5-Ap-I-mtpl-chain-1-cmm.pg; function; multiple uses of the chain rule; ()^pwr + e^((x)^a). </t>
  </si>
  <si>
    <t>249-7-0-0-C/7-2-5-Ap-I/7-2-5-Ap-I-mtpl-chain-2-cmm.pg; function; multiple uses of the chain rule to find g'(x) at x=a with f(a), f'(a) provided.</t>
  </si>
  <si>
    <t>7-2-6</t>
  </si>
  <si>
    <t>compute the derivative of a function requiring a combination of the product/quotient and chain rules</t>
  </si>
  <si>
    <t xml:space="preserve">249-7-0-0-C/7-2-6-Ap-I/7-2-6-Ap-I-mtpl-prod-chain-1-cmm.pg; function; quotient rule; multiple uses of the chain rule. </t>
  </si>
  <si>
    <t xml:space="preserve">249-7-0-0-C/7-2-6-Ap-I/7-2-6-Ap-I-mtpl-prod-chain-2-cmm.pg; function; product rule; multiple uses of the chain rule. </t>
  </si>
  <si>
    <t xml:space="preserve">249-7-0-0-C/7-2-6-Ap-I/7-2-6-Ap-I-mtpl-prod-chain-3-cmm.pg; function; quotient rule; multiple uses of the chain rule to find the derivative of f(x) at a given x=a. </t>
  </si>
  <si>
    <t>8-0-0</t>
  </si>
  <si>
    <t>interpret information about the shape/graph of a function by using information about the first and second derivative</t>
  </si>
  <si>
    <t>High-level outcome (for course outline); short name: #8-0-0-C; graphs</t>
  </si>
  <si>
    <t>No. of 8-0-0-C problems  --- &gt;&gt;&gt;</t>
  </si>
  <si>
    <t>8-1-2</t>
  </si>
  <si>
    <t>identify intervals where a function is increasing/decreasing given the graph of the original function</t>
  </si>
  <si>
    <t>8-1-2-U-C-pw-inc-dec-1-jms.pg; dropdown; random piecewise linear generated; askes about three intervals (at random); one using and enpoint, one small interior (inc/dec/constant), one concatenated interval (inc/dec/constant/NEITHER)</t>
  </si>
  <si>
    <t>8-1-2-U-C-cubic-inc-dec-jms.pg; interval; given graph of cubic; find intervals of increase/decrase; uses the same cubic graph as 6-9-2-U-C-der-zero-graph-1-jms.pg</t>
  </si>
  <si>
    <t>8-1-2-U-C-quart-inc-dec-jms.pg; interval; find intervals of increase/decrase given graph of a generic quartic (derivative with distinct roots)</t>
  </si>
  <si>
    <t>8-1-3</t>
  </si>
  <si>
    <t>identify intervals where a function is increasing/decreasing given the graph of the derivative</t>
  </si>
  <si>
    <t>8-1-3-U-C-pw-der-inc-dec-1-jms.pg; dropdown; piecewise linear graph of derivative; two of four intervals randomly chosen; asked about f inc/dec with justification</t>
  </si>
  <si>
    <t>8-1-3-U-C-pw-der-inc-dec-2-jms.pg; piecewise smooth version of question; two of four intervals randomly chosen (one on end, one in middle); asked about f inc/dec with justification</t>
  </si>
  <si>
    <t>8-1-3-U-C-der-cubic-inc-dec-jms.pg; interval and numeric; given graph of a cubic that is the derivative of a function, find intervals of increase/decrease</t>
  </si>
  <si>
    <t>8-1-3-U-C-der-quart-inc-dec-jms.pg; intervals; given graph of a quartic that is the derivative of a function; find intervals of increase/decrease; one repeated root so two intervals next to each other with the same behaviour</t>
  </si>
  <si>
    <t>8-1-1</t>
  </si>
  <si>
    <t>state what it means for a function to be increasing/decreasing in terms of the derivative</t>
  </si>
  <si>
    <t>Ask only one of 8-1-1-R-C-state-der-inc-dec-jms.pg or 8-1-1-R-C-state-der-inc-dec-2-jms.pg on an assessment.</t>
  </si>
  <si>
    <t>8-1-3-U-C-pw-der-inc-dec-1-jms.pg; dropdown; from above includes this outcome as well as interpreting the graph of the derivative</t>
  </si>
  <si>
    <t>8-1-1-R-C-state-der-inc-dec-jms.pg; dropdown; given increasing/decreasing choose pos/neg for deriative; includes choosing the universal quantifier</t>
  </si>
  <si>
    <t>8-1-1-R-C-state-der-inc-dec-2-jms.pg; given derivative pos/negative choose if function is increasing/decreasing; includes choosing the universal quantifier</t>
  </si>
  <si>
    <t>8-2-3</t>
  </si>
  <si>
    <t>identify intervals where a function is concave up/down given the graph of the original function</t>
  </si>
  <si>
    <t>8-2-3-U-C-concave-original-1-jms.pg; intervals; graph of cubic with nonzero integer inflection point</t>
  </si>
  <si>
    <t>8-2-3-U-C-concave-original-2-jms.pg; interal; graph of quartic with two distinct nonzero integer inflection points</t>
  </si>
  <si>
    <t>8-2-5</t>
  </si>
  <si>
    <t>identify intervals where a function is concave up/down given the graph of the second derivative</t>
  </si>
  <si>
    <t>8-2-5-U-C-pw-second-der-concave-1-jms.pg; dropdown; piecewice smooth second derivative graph; determine concave up/down on two of four random intervals (one on end, one in middle); indicate sign of second derivative (modified version of code from 8-1-3-U-C-pw-der-inc-dec-1-jms.pg)</t>
  </si>
  <si>
    <t>8-2-5-U-C-sec-der-quart-conc-jms.pg; intervals and numeric; quartic graph given as graph of the second derivative; determine intervals where original function is concave up/down and list x-values of inflection points; one repeated root so two intervals next to each other with the same behaviour (modified from code 8-1-3-U-C-der-quart-inc-dec-jms.pg)</t>
  </si>
  <si>
    <t>8-1-4</t>
  </si>
  <si>
    <t>identify intervals where a function is increasing/decreasing by algebraically determining the sign of the derivative</t>
  </si>
  <si>
    <t>8-1-4-Ap-C-danny-1.pg; interval list; Danny's template problem</t>
  </si>
  <si>
    <t>8-1-4-Ap-C-abstract-1-jms.pg; interval; given derivative involving an uknown function with a fixed sign; find intervals where original funciton is increasing / decreasing</t>
  </si>
  <si>
    <t>8-1-4-Ap-C-log-2-jms.pg; interval; given function and its derivative involving log(x); find intervals of increase and decrease</t>
  </si>
  <si>
    <t>8-1-4-Ap-C-poly-3-jms.pg; interval; quartic given; derivative is a cubic with one repeated root</t>
  </si>
  <si>
    <t>8-2-6</t>
  </si>
  <si>
    <t>identify intervals where a function is concave up/down by algebraically determining the sign of the second derivative</t>
  </si>
  <si>
    <t>8-2-6-Ap-C-poly-1-jms.pg; interval; quartic function; second derivative is a quadratic has can have distinct or repeated roots and either a pos/neg constant factor</t>
  </si>
  <si>
    <t>8-2-6-Ap-C-rational-2-jms.pg; interval; simple rational function +/-(x-a)^(-1); determine intervals where concave up / concave down; modified version of 8-1-4-Ap-C-danny-1.pg</t>
  </si>
  <si>
    <t>8-2-6-Ap-C-abstract-3-jms.pg; interval; modified version of 8-1-4-Ap-C-abstract-1-jms.pg; given SECOND derivative involving an uknown function with a fixed sign; find intervals where original funciton is CU/CD</t>
  </si>
  <si>
    <t>8-2-6-Ap-C-exp-3-jms.pg; interval; f''(x) = x(x-a)e^x; given f need to compute f'' using the product rule</t>
  </si>
  <si>
    <t>8-1-0</t>
  </si>
  <si>
    <t>state the definition what it means for a function to be increasing/decreasing</t>
  </si>
  <si>
    <t>8-1-0-R-I-defn-inc-dec-jms.pg; dropdown; given increasing/decreasing fill in quantifier and one of two inequalities to complete the two definitions</t>
  </si>
  <si>
    <t>8-1-0-R-I-defn-inc-dec-2-jms.pg; given technical definition match the correct word</t>
  </si>
  <si>
    <t>8-2-4</t>
  </si>
  <si>
    <t>identify intervals where a function is concave up/down given the graph of the first derivative</t>
  </si>
  <si>
    <t>8-2-4-U-I-pw-frst-der-concave-jms.pg; dropdown; piecise linear graph of first derivative (always non-constant on small intervals); determine if function is concave up, concave down, or if concavity changes on three randomly selected intervals (modified version of 8-1-2-U-C-pw-inc-dec-1-jms.pg;)</t>
  </si>
  <si>
    <t>8-2-4-U-I-cubic-first-der-concave-jms.pg; given graph of first derivative that is a cubic, determine where original function is concave upward/downward and find inflection points</t>
  </si>
  <si>
    <t>8-2-0</t>
  </si>
  <si>
    <t>state the definition what it means for a function to be concave up/down; and what it means to be concave up/down in terms of the second derivative</t>
  </si>
  <si>
    <t>8-2-0-R-I-defn-conc-jms.pg; dropdown; define concaity in terms of the graph and tangent lines</t>
  </si>
  <si>
    <t>8-2-0-R-I-conc-defn-2-jms.pg; dropdown; identify concacve up / down in terms of the second derivative; also includes universal quantifier</t>
  </si>
  <si>
    <t>9-0-0</t>
  </si>
  <si>
    <t>identify maximum/minimum values of a function on a given interval and solve single-variable constrained optimization problems</t>
  </si>
  <si>
    <t>High-level outcome (for course outline); short name: #9-0-0-C; optimization</t>
  </si>
  <si>
    <t>No. of 9-0-0-C problems --- &gt;&gt;&gt;</t>
  </si>
  <si>
    <t>9-2-4</t>
  </si>
  <si>
    <t>create an example of a function with a critical/singular point that is not a local extrema</t>
  </si>
  <si>
    <t>9-1-5</t>
  </si>
  <si>
    <t>create an example of a function where the Second Derivative Test is inconclusive</t>
  </si>
  <si>
    <t>9-4-1</t>
  </si>
  <si>
    <t>state the Extreme Value Theorem</t>
  </si>
  <si>
    <t>9-4-1-R-A-evt-jms.pg; dropdown; complete the statement of the theorem (non-technical); 4 dropdowns</t>
  </si>
  <si>
    <t>9-4-2</t>
  </si>
  <si>
    <t>explain the relationship between the Extreme Value Theorem and the Closed Interval Method</t>
  </si>
  <si>
    <t>9-1-0</t>
  </si>
  <si>
    <t>state the definiton of a local maximum/minimum</t>
  </si>
  <si>
    <t>9-1-0-R-C-loc-ext-def-jms.pg; dropdown; given inequality choose local/max or local min and indicate 'near'</t>
  </si>
  <si>
    <t>9-1-0-R-C/9-1-0-R-C-loc-ext-def-2-jms.pg; dropdown; given maxmin choose correct inequality (f(x) and f(c) positions reversed from other version) and indicate 'near'</t>
  </si>
  <si>
    <t>9-1-1</t>
  </si>
  <si>
    <t>identify a local maximum/minimum given the graph of the original function</t>
  </si>
  <si>
    <t>**Note Definition 3.5.3 of CLP-1 allows endpoints of intervals to be local extrema (this is inconsistent with what we have done in 249/265 over the last few years)</t>
  </si>
  <si>
    <t>9-1-1-U-C-pw-loc-ext-1-jms.pg; dropdown; piecewise linear function; choose local max or local min / neither for interior singular points; CODE HAS OPTION TO INCLUDE AN ADDITIONAL POINT: domain is open interval so indicate "neither" at one of two endpoints</t>
  </si>
  <si>
    <t>9-1-1-U-C-quart-ext-jms.pg; numeric (list); indiate numerical locations of local maximum and minimum given a graph of a quartic; code adapted from 8-1-2-U-C-quart-inc-dec-jms.pg</t>
  </si>
  <si>
    <t>9-1-3</t>
  </si>
  <si>
    <t>identify local maximum/minimums by using the First Derivative Test analytically/algebraically</t>
  </si>
  <si>
    <t>9-1-4-Ap-C-danny-1.pg; drop-down; randomly generated parabola; depends on approach</t>
  </si>
  <si>
    <t>9-1-3-Ap-C-fdt-jms-1.pg; dropdown and numeric; given f and f'; force using first derivative test by asking inc/dec; could be max/min</t>
  </si>
  <si>
    <t>9-1-3-Ap-C-fdt-abs-jms-1.pg; given function f with f'(x) = g'(x)(x-a)(x-b); find local max/min; given g continuous differentiable with one critical point and a local max/min; ten different cases occur; allows a=b, but avoids a=c and b=c</t>
  </si>
  <si>
    <t>9-2-1</t>
  </si>
  <si>
    <t>state the definition of a critical point</t>
  </si>
  <si>
    <t>9-2-1-R-C-crit-sing-def-jms.pg; identify difference between critical and singular points from their definitions; uses local maximum and local minimum as distractors</t>
  </si>
  <si>
    <t>9-1-4</t>
  </si>
  <si>
    <t>identify local maximum/minimums by using the Second Derivative Test analytically/algebraically</t>
  </si>
  <si>
    <t>9-1-4-Ap-C-sdt-jms-1.pg; numeric; dropdown; given quartic and critical point find value of f'', determine sign of f'', indicate max/min and find value of function</t>
  </si>
  <si>
    <t>9-1-4-Ap-C-sdt-jms-2.pg; numeric; given a cubic with an unknown parameter find the value of the constant that gives a local max/min; get two possible critical points, but only one gives desired max/min</t>
  </si>
  <si>
    <t>9-1-4-Ap-C-sdt-jms-3.pg; dropdown; given table of values determine if max/min/neither or inconclusive; points may or may not be critical points</t>
  </si>
  <si>
    <t>9-3-0</t>
  </si>
  <si>
    <t>state the definition of a global maximum/minimum</t>
  </si>
  <si>
    <t>9-3-0-R-C-glob-ext-def-jms.pg; dropdown; given inequality; choose global max/min and correct quantifier to make a correct definition</t>
  </si>
  <si>
    <t>9-3-0-R-C-glob-ext-def-2-jms.pg; dropdown; given global max/min choose inequality and quantifier to complete definition; positions of f(x) and f(c) reversed  from other version and opposite to local questions</t>
  </si>
  <si>
    <t>9-3-1</t>
  </si>
  <si>
    <t>explain the difference between a local/global extrema</t>
  </si>
  <si>
    <t>Jerrod is not sure how to make this in WeBWork ... other than the question with a graph that I've made for 9-3-2-U-C</t>
  </si>
  <si>
    <t>9-3-2</t>
  </si>
  <si>
    <t>recognize the difference between a local/global extreme by interpreting the graph of a given function</t>
  </si>
  <si>
    <t>9-3-2-U-C-pw-loc-glob-ext-1-jms.pg; dropdown; piecewise linear; ask about global max/min AND local max/min for two out of four interior singular points; does not ask about endpoints but they are included on the graph in the closed interval; combines code from 9-1-1-U-C-pw-loc-ext-1-jms.pg and 9-3-3-U-C-pw-glob-ext-1-jms.pg</t>
  </si>
  <si>
    <t>9-3-2-U-C-loc-glob-ext-ms-cmm.pg; multiple select; evaluation of statements about global/local extrema on a closed interval of a graph of a function. SOLUTION NOT DONE YET</t>
  </si>
  <si>
    <t>9-3-4</t>
  </si>
  <si>
    <t>identify a global maxumum/minimum given the graph of the derivative of a function</t>
  </si>
  <si>
    <t>9-3-4-U-C-pw-der-glob-ext-jms.pg; dropdown; piecewise graph with one critical point; determine extrema type of critical point (could be neither); determine if global max/min occur at a critical point or endpoint</t>
  </si>
  <si>
    <t>9-4-3</t>
  </si>
  <si>
    <t>implement the Closed Interval Method to find the absolute extrema of a continuous function on a closed interval</t>
  </si>
  <si>
    <t>9-4-3-Ap-C-closed-int-jms-1.pg; numeric; cubic; one critical point in the interval and one outside; find the location and value of the global extrema</t>
  </si>
  <si>
    <t>9-4-3-Ap-C-closed-int-jms-2.pg; numeric; xe^x type function; one critical point; find location and value of absolute max/min; HARD</t>
  </si>
  <si>
    <t>9-5-1</t>
  </si>
  <si>
    <t>translate a given optimization problem into an abstract mathematical problem; in particular: use a constraint to eliminate secondary variables in order to produce a single-variable optimization problem</t>
  </si>
  <si>
    <t>9-5-1-An-C-box-cost-jms.pg; dropdown and function; cost of box with a lid; indicate "minimize"; identify constraint; find cost as function of one variable</t>
  </si>
  <si>
    <t>9-5-1-An-C-fence-set-up-jms.pg; dropdown and function; indicate minimize; find perimeter as function of one variable</t>
  </si>
  <si>
    <t>9-5-1-An-C-open-box-set-up-jms.pg; dropdown and function; box with an open top by cutting squares from a square sheet; no constraint; maxmimize</t>
  </si>
  <si>
    <t>9-5-1-An-C-cylinder-set-up-jms.pg; dropdown and function; indidicate minimize surface area; set up function to minimize the amount of material used for a cylinder of a fixed volume</t>
  </si>
  <si>
    <t>9-5-2</t>
  </si>
  <si>
    <t>solve optimization word problems</t>
  </si>
  <si>
    <t>9-5-2-Ap-C-box-cost-full-jms.pg; numeric; solve a version of 9-5-1-An-C-box-cost-jms.pg with a reworded context; four versions with simplified numbers from an old 249 midterm exam 2021</t>
  </si>
  <si>
    <t>9-5-2-Ap-C-fence-full-jms.pg; numeric; solvea version of the problem 9-5-1-An-C-fence-set-up-jms.pg so that critical values are integers; ask for the minimum amount of fencing (the minimum value instead of the dimensions)</t>
  </si>
  <si>
    <t>9-5-2-Ap-C-open-box-full-jms.pg; numeric; ask for maximum volume and the critical point; solving the problem 9-5-1-An-C-open-box-set-up-jms.pg</t>
  </si>
  <si>
    <t>9-5-2-Ap-C-cylinder-cost-jms.pg; numeric; given cost function and fixed volume of a cylindrical container; find radius of the cylinder that minimizes the cost function</t>
  </si>
  <si>
    <t>9-5-3</t>
  </si>
  <si>
    <t>interpret the results of optimization proceedures into an answer to a given optimization problem</t>
  </si>
  <si>
    <t>9-1-2</t>
  </si>
  <si>
    <t>identify a local maxumum/minimum given the graph of the derivative of a function</t>
  </si>
  <si>
    <r>
      <rPr>
        <sz val="11"/>
        <color rgb="FF000000"/>
        <rFont val="Aptos Narrow"/>
        <scheme val="minor"/>
      </rPr>
      <t xml:space="preserve">9-1-2-U-C-pw-der-ext-1-jms.pg; dropdown; piecewise graph given with three critical points; choose local max/min/neither for each point </t>
    </r>
    <r>
      <rPr>
        <b/>
        <sz val="11"/>
        <color rgb="FF000000"/>
        <rFont val="Aptos Narrow"/>
        <scheme val="minor"/>
      </rPr>
      <t>and include justification about the funciton increasing/decreasing to the left/right of the critical point on specific intervals</t>
    </r>
    <r>
      <rPr>
        <sz val="11"/>
        <color rgb="FF000000"/>
        <rFont val="Aptos Narrow"/>
        <scheme val="minor"/>
      </rPr>
      <t>; uses code from 8-1-3-U-C-pw-der-inc-dec-2-jms.pg</t>
    </r>
  </si>
  <si>
    <t>9-1-2-U-C-pw-der-ext-2-no-int-jms.pg; dropdown; same critical points, etc. as 9-1-2-U-C-pw-der-ext-1-jms.pg; however, does not ask for increasing/decrasing justification; instead asks students to identify that the three points are all critical points (since they are looking at the graph of the derivative)</t>
  </si>
  <si>
    <t>9-3-3</t>
  </si>
  <si>
    <t>identify a global maximum/minimum given the graph of the original function</t>
  </si>
  <si>
    <t>9-3-3-U-C-pw-glob-ext-1-jms.pg; dropdown; piecewise linear function on closed interval; choose global max or global min / neither for random subset of one endpoint and two interior singular points</t>
  </si>
  <si>
    <t>9-5-4</t>
  </si>
  <si>
    <t>communicate an approach to solving an optimization problem and the results of the process to an appropriate audience</t>
  </si>
  <si>
    <t>9-2-2</t>
  </si>
  <si>
    <t>state the definition of a singular point</t>
  </si>
  <si>
    <t>9-2-3</t>
  </si>
  <si>
    <t>recognize that local extrema occur at critical/singular points but that not all critical/singular points are local extrema</t>
  </si>
  <si>
    <t>The problems first two problems for 9-1-2-U-C touch on this outcome (for critical points), depending on the randomization...</t>
  </si>
  <si>
    <t>9-2-3-U-I-crit-sing-tf-jms.pg; dropdown; true or false; two statements about the relationship between critical/singular points and local extrema; both are false</t>
  </si>
  <si>
    <t>9-2-3-U-I-fermat-evt-jms.pg; dropdown; if you have a local max, then crit or sing; if you have global max on closed interval, then crit/sing/endpoint.</t>
  </si>
  <si>
    <t>10-0-0</t>
  </si>
  <si>
    <t>state the Mean Value Theorem, interpret the statement of the theorem in terms of "rates of change" and "slope", and solve problems using the MVT</t>
  </si>
  <si>
    <t>High-level outcome (for course outline); short name: #10-0-0-I; MVT; WeBWork Quiz for 10-0-0-I will consist of one problem from 10-0-2-U-C, two problems from 10-1-1-Ap-C (one upper/lower and one big/small), one problem from 10-1-2-Ap-C, and one problem from 10-0-1-R-I</t>
  </si>
  <si>
    <t>No. of 10-0-0-C problems  --- &gt;&gt;&gt;</t>
  </si>
  <si>
    <t>10-2-0</t>
  </si>
  <si>
    <t>use the Mean Value Theorem, and Intermediate Value Theorem, to make conclusions about the existence/number of roots of a differentiable function</t>
  </si>
  <si>
    <t>"Show there is exactly one real root ---"</t>
  </si>
  <si>
    <t>10-0-2</t>
  </si>
  <si>
    <t>interpret the statement of the Mean Value Theorem in terms of "rates of change" and "slope"</t>
  </si>
  <si>
    <t>10-0-2-U-C-mvt-meaning-1-jms.pg; numeric and drop down; calculate average rate of change and indicate that instantaneous rate of change must euqal this also with quantifier; uses context of reaction rate from 6-1-0-U-C-reaction-dd-jms.pg</t>
  </si>
  <si>
    <t>10-0-2-U-C-mvt-meaning-2-jms.pg;  drop down and numeric; indicate that information provided allows computation of average velocity; indicate that mean value theorem is a statement about the instantaneous velocity; use similar context to 6-1-0-U-C-vel-acc-dd-jms.pg</t>
  </si>
  <si>
    <t>10-0-2-U-C-mvt-meaning-3-jms.pg; numeric and drop down; given points find function values, slope of secant line, and interpret mean value theorem.</t>
  </si>
  <si>
    <t>10-0-2-U-C-mvt-meaning-4-jms.pg; numeric and drop down; given point, slope of secant line, and second x-value; find funciton values, equation of secant line, indicate interval on wich MVT applies and indidicate parallell lines have equal slopes</t>
  </si>
  <si>
    <t>10-1-1</t>
  </si>
  <si>
    <t>use the Mean Value Theorem to find upper/lower limits for values of a function given upper/lower limits on the derivative</t>
  </si>
  <si>
    <t>10-1-1-Ap-C-mvt-upper-lower-1-jms.pg; dropdown and numeric; choose that MVT applies; given upper and lower bounds on f'(x) find upper and lower bounds for f(a)</t>
  </si>
  <si>
    <t>10-1-1-Ap-C-mvt-upper-lower-2-jms.pg; dropdown and numeric; choose that MVT applies; given upper and lower bounds on f'(x) find upper and lower bounds for f(b)</t>
  </si>
  <si>
    <t>10-1-1-Ap-C-mvt-big-small-1-jms.pg; numeric; given value of f(b) and upper/lower limits on f'(x) find the largest/smallest value of f(a) (versioned on biggest/smallest); ask for funciton that achieves this value</t>
  </si>
  <si>
    <t>10-1-1-Ap-C-mvt-big-small-2-jms.pg; numeric; given value of f(a) and upper/lower limits on f'(x) find the largest/smallest value of f(a) (versioned on biggest/smallest); ask for funtion that achieves this value</t>
  </si>
  <si>
    <t>10-1-2</t>
  </si>
  <si>
    <t>use the Mean Value Theorem to solve practical problems about rates of change</t>
  </si>
  <si>
    <t>Need unit conversions to solve this problem; then students compare a computed average to a given limit/record to determin if MVT can help give a conclusion</t>
  </si>
  <si>
    <t>10-1-2-Ap-C-mvt-speeding-tickets-jms.pg; find average velocity for a car trip, compare to a speed limit and attempt to use the MVT to determine if they were speeding or not. Sometimes no determination can be made since average speed is lower than the posted limit.</t>
  </si>
  <si>
    <t>10-1-2-Ap-C-mvt-solar-jms.pg;  find average velocity for a test vehicle compare to a record speed and attempt to use the MVT to determine if the record was broke. Sometimes no determination can be made since average speed is lower than the record.</t>
  </si>
  <si>
    <t>10-1-2-Ap-C-mvt-sound-jms.pg; same idea as other problems, but requires coverting kilometers/minute to metres/second as well</t>
  </si>
  <si>
    <t>10-0-1</t>
  </si>
  <si>
    <t>precisely state the Mean Value Theorem</t>
  </si>
  <si>
    <t>10-0-1-R-I-state-mvt-jms.pg; dropdown and numeric; complete statement of MVT for a specific interval and an unknown function</t>
  </si>
  <si>
    <t>10-0-1-R-I-state-mvt-spec-jms.pg; dropdown and numeric; complete specific statement of MVT for a polynomial function</t>
  </si>
  <si>
    <t>11-0-0</t>
  </si>
  <si>
    <t>state the definition of an antiderivative of a function, explain the relationship between antiderivatives, and compute antiderivatives of common functions</t>
  </si>
  <si>
    <t>High-level outcome (for course outline); short name: #11-0-0-C; antiderivatives</t>
  </si>
  <si>
    <t>No. of 11-0-0-C problems --- &gt;&gt;&gt;</t>
  </si>
  <si>
    <t>11-2-4</t>
  </si>
  <si>
    <t>justify that two antiderivatives differ by a constant by using the Mean Value Theorem</t>
  </si>
  <si>
    <t>11-1-1</t>
  </si>
  <si>
    <t>determine if a given function is an antiderivative of another</t>
  </si>
  <si>
    <t>multiselect questions here also cover 11-2-1-R-C</t>
  </si>
  <si>
    <t>11-1-1-An-C-anti-der-ms-1-jms.pg; multiselect; find all antiderivatives of x^3 + sin(x) + b</t>
  </si>
  <si>
    <t>11-1-1-An-C-anti-der-ms-2-jms.pg; multiselect; find all antiderivatives of 1/sqrt(x) and cos(x)</t>
  </si>
  <si>
    <t>11-1-1-An-C-anti-mc-1-jms.pg; multiple choice; find antiderivative with e^x and 1/x</t>
  </si>
  <si>
    <t>11-1-0</t>
  </si>
  <si>
    <t>state the definition of the antiderivative of a function</t>
  </si>
  <si>
    <t>11-1-0-R-C-anti-der-defn-jms.pg; dropdown; given equation f'(x) = g state relationship between two functions; two different orders randomized</t>
  </si>
  <si>
    <t>11-1-2</t>
  </si>
  <si>
    <t>compute the antiderivative of a given function (polynomial, exp, trigonometric)</t>
  </si>
  <si>
    <t>Without requiring substitution</t>
  </si>
  <si>
    <t>11-1-2-Ap-C-fcn-anti-der-1-jms.pg; function; power of x, e^(-x), cos(x)</t>
  </si>
  <si>
    <t>11-1-2-Ap-C-fcn-anti-der-2-jms.pg; function; x^2 or x^3, 1/x, sin(x)</t>
  </si>
  <si>
    <t>11-1-2-Ap-C-fcn-anti-der-3-jms.pg; function; sqrt(x) and sec^2(x)</t>
  </si>
  <si>
    <t>11-2-1</t>
  </si>
  <si>
    <t>recognize that two antiderivatives only differ by a constant</t>
  </si>
  <si>
    <t>11-1-1-An-C ms problems also include this aspect</t>
  </si>
  <si>
    <t>11-2-1-R-C-two-anti-der-1-jms.pg; dropdown; given two abstract antiderivatives indicate what F-G and F'-G' are equal to; random order of bullets</t>
  </si>
  <si>
    <t>11-2-2</t>
  </si>
  <si>
    <t>explain what the fact that "two antiderivatives differ by a constant" means graphically</t>
  </si>
  <si>
    <t>11-2-2-U-C-two-anti-der-gph-jms.pg; dropdown; given two different antiderivatives'; indicate that they will have the same slope for each x but different y-intercpepts</t>
  </si>
  <si>
    <t>11-2-3</t>
  </si>
  <si>
    <t>explain what the fact that "two antiderivatives differ by a constant" means algebraically</t>
  </si>
  <si>
    <t>11-2-3-U-C-two-anti-der-mc-jms.pg; multiple choice; choose best statement (with quantifiers) that reprsens what it menas for two antiderivatives to differ by a constant</t>
  </si>
  <si>
    <t>11-4-1</t>
  </si>
  <si>
    <t>recognize when a practical problem requires a derivative or an antiderivative to be solved</t>
  </si>
  <si>
    <t>Covered by 3-6-0-Ap-I above (two problems)</t>
  </si>
  <si>
    <t>11-5-1</t>
  </si>
  <si>
    <t>implement integration by substitution to evaluate antiderivatives of composite functions</t>
  </si>
  <si>
    <t>11-5-1-Ap-C-sub-anti-der-1-jms.pg; function; indicate best subsitution to make and evaluate indefinite integral (large power of binomial)</t>
  </si>
  <si>
    <t>11-5-1-Ap-C-sub-anti-der-2-jms.pg; function; indicate best substiution, differential and evaluate indefinite integral (large power of sin or cos)</t>
  </si>
  <si>
    <t>11-5-1-Ap-C-sub-anti-der-3-jms.pg; function; indicate best substitution, differential and evaluate indefinite integral (square root of e^x + b or ln(x) + b)</t>
  </si>
  <si>
    <t>11-5-1-Ap-C-sub-anti-der-4-mc-jms.pg; multiple choice; u-sub with unknown function</t>
  </si>
  <si>
    <t>11-5-2</t>
  </si>
  <si>
    <t>explain the relationship between the chain rule and integration by substitution</t>
  </si>
  <si>
    <t>11-5-2-U-C-chain-sub-jms.pg; dropdown; indidiate that substitution is antiderivative version of chain rule</t>
  </si>
  <si>
    <t>11-5-4</t>
  </si>
  <si>
    <t xml:space="preserve">compute the differential of a given function </t>
  </si>
  <si>
    <t>11-5-4-Ap-C-dx-1-jms.pg; function; given exp and trig function; compute du with chain rule; dx added as a varible so the learner must include it</t>
  </si>
  <si>
    <t>11-5-4-Ap-C-dx-2-jms.pg; function; product rule and chain rule with ln; compute du with chain rule; dx added as a varible so the learner must include it</t>
  </si>
  <si>
    <t>11-5-4-Ap-C-dx-3-jms.pg; function; square root of polynomial; compute du with chain rule; dx added as a varible so the learner must include it</t>
  </si>
  <si>
    <t>11-3-1</t>
  </si>
  <si>
    <t>solve initial value problems given information about the second derivative of a function</t>
  </si>
  <si>
    <t>11-3-1-Ap-I-ivp-1-jms.pg; function; given f''(x), f'(0) and f(0) find f(x); f''(x) = asin(x) +bcos(x)</t>
  </si>
  <si>
    <t>11-3-1-Ap-I-ivp-2-jms.pg; function; given f''(x), f'(0) and f(0) find f(x); f''(x) = ae^x +be^(-x)</t>
  </si>
  <si>
    <t>11-3-1-Ap-I-ivp-3-jms.pg; function; given f'(x) and f(a), find f(x); a*sqrt(x) + b/sqrt(x)</t>
  </si>
  <si>
    <t>11-5-3</t>
  </si>
  <si>
    <t>state the definition of the differential of a function</t>
  </si>
  <si>
    <t>Related to 4-3-1-Ap-I; differential approximation; Need to know this in order to complete 11-5-4-Ap-C outcomes</t>
  </si>
  <si>
    <t>12-0-0</t>
  </si>
  <si>
    <t>explore the process of estimating areas under the graph of a function and develop the definition of the Riemann integral</t>
  </si>
  <si>
    <t>High-level outcome (for course outline); short name: #12-0-0-C; area</t>
  </si>
  <si>
    <t>No. of 12-0-0-C problems --- &gt;&gt;&gt;</t>
  </si>
  <si>
    <t>12-1-1</t>
  </si>
  <si>
    <t>state the precise definition of the Riemann integral of a continuous function</t>
  </si>
  <si>
    <t>12-1-3</t>
  </si>
  <si>
    <t>recognize when a given limit of a sum is the definite integral of a function</t>
  </si>
  <si>
    <t>12-1-2</t>
  </si>
  <si>
    <t>state the intuitive interpretation of the definite integral in terms of areas</t>
  </si>
  <si>
    <t>12-1-2-U-C-def-int-idea-1-jms.pg; multiple choice; does not use the phrase "net area"</t>
  </si>
  <si>
    <t>12-1-2-U-C-def-int-idea-2-jms.pg; multiple choice; asks about |f(x)|</t>
  </si>
  <si>
    <t>12-1-2-U-C-application-1-jms.pg; interpret meaning of definite integral</t>
  </si>
  <si>
    <t>12-2-1</t>
  </si>
  <si>
    <t>interpret the definite integral on an interval [a, x] as a function of x</t>
  </si>
  <si>
    <t>12-2-1-An-C-area-function-1-jms.pg; dropdown and numeric; indicate that A(x) is a funciton of x and find two of its values given a graph of f</t>
  </si>
  <si>
    <t>12-2-1-An-C-area-function-2-jms.pg; dropdown and numeric; integral of absolute value; indicate that A(x) is a function of x, and find two of its values given graph of f</t>
  </si>
  <si>
    <t>12-3-1</t>
  </si>
  <si>
    <t>evaluate the definite integral of a function given the graph of the function</t>
  </si>
  <si>
    <t>12-3-1-Ap-C-area-graph-1-jms.pg; numeric; given piecewise linear function; evaluate four definite integrals; one right-to-left; all with same lower limit of integration</t>
  </si>
  <si>
    <t>12-3-1-Ap-C-area-graph-2-jms.pg; numeric; piecewise linear graph with regions that are triangles, rectangles, or a triangle + rectangle; evaluate two definite integral</t>
  </si>
  <si>
    <t>12-3-1-Ap-C-area-graph-3-jms.pg; numeric; piecewise with a quarter circle; ask for quarter circle only and one other integral which involves using 5-sub-interval</t>
  </si>
  <si>
    <t>12-3-2</t>
  </si>
  <si>
    <t>evaluate the definite integral of a piecewise function (without the fundamental theorem of calculus)</t>
  </si>
  <si>
    <t>12-3-2-Ap-C-pw-def-no-ftc-1-jms.pg; numeric; function is linear and semicircle (both either pos/neg); solution evaluates with a graph; requires area as a rectangle + triangle and quarter circle</t>
  </si>
  <si>
    <t>12-3-2-Ap-C-pw-def-no-ftc-2-jms.pg; numeric; peicewise function; graph is linear wtih y-int 0 and semicricle with centre on x-axis; requires triangle and half-circle area</t>
  </si>
  <si>
    <t>12-3-2-Ap-C-pw-def-no-ftc-3-jms.pg; numeric; peicewise function; graph is piecewise linear; one part horizontal; one with nonzero slope; function changes definition at nonzero point (EASIER!)</t>
  </si>
  <si>
    <t>12-3-4</t>
  </si>
  <si>
    <t>calculate definite integrals using properties of the integral and given limited information about other integrals</t>
  </si>
  <si>
    <t>12-3-4-An-C-abstract-int-1-jms.pg; numeric; find two definite integrals of one function using given integrals; just about manipulating intervals and splitting up integrals; scaffolded</t>
  </si>
  <si>
    <t>12-3-4-An-C-abstract-int-2-jms.pg; numeric; find two definite integrals; given information about one function; second involves a scalar multiple and a constant function; scaffolded order</t>
  </si>
  <si>
    <t>12-3-4-An-C-abstract-int-3-jms.pg; numeric; given information about two functions; find integrals of linear combinations; one uses two integrals given directly; the second involves splitting the two integrals up in to different ways but only as a to b and b to c and adding</t>
  </si>
  <si>
    <t>12-3-3</t>
  </si>
  <si>
    <t>evaluate the definite integral of odd/even functions by using symmetry</t>
  </si>
  <si>
    <t>13-0-0</t>
  </si>
  <si>
    <t>state the Fundamental Theorem of Calculus and explore/demonstrate the relationship between differentiation and integration</t>
  </si>
  <si>
    <t>High-level outcome (for course outline); short name: #13-0-0-C; FTC</t>
  </si>
  <si>
    <t>No. of 13-0-0-C problems  --- &gt;&gt;&gt;</t>
  </si>
  <si>
    <t>13-4-1</t>
  </si>
  <si>
    <t>apply the FTC and earlier knowledge to determine intervals of increase/decrease of functions presented as integrals</t>
  </si>
  <si>
    <t>13-4-1-Ap-A-ftc-increase-decrease-AT.pg</t>
  </si>
  <si>
    <t>13-4-2</t>
  </si>
  <si>
    <t>apply the FTC and earlier knowledge to determine intervals of concavity of functions presented as integrals</t>
  </si>
  <si>
    <t>13-4-2-Ap-A-ftc-concavity-AT.pg</t>
  </si>
  <si>
    <t>13-4-3</t>
  </si>
  <si>
    <t>apply the FTC and the First Derivative Test to find local extrema of functions presented as integrals</t>
  </si>
  <si>
    <t>13-4-4</t>
  </si>
  <si>
    <t>apply the FTC and the Closed Interval Method to find global extrema of functions presented as integrals on a closed interval</t>
  </si>
  <si>
    <t>13-4-4-Ap-A-ftc-closed-interval-method-AT.pg</t>
  </si>
  <si>
    <t>13-4-G-Ap-A</t>
  </si>
  <si>
    <t>Folder containing questions for next four graph-based FTC learning outcomes</t>
  </si>
  <si>
    <t>13-4-1G</t>
  </si>
  <si>
    <t>apply the FTC and earlier knowledge to determine intervals of increase/decrease of functions presented as integrals WITH INTEGRAND GIVEN AS A GRAPH</t>
  </si>
  <si>
    <t>In folder 13-4-G-Ap-A</t>
  </si>
  <si>
    <t>13-4-1G-Ap-A-int-graph-inc-dec-1-jms.pg; drop down; for each interval choose increasing or decreasing'; graph is piecewise linear; rewritten version of 12-3-1-Ap-C-area-graph-1-jms.pg</t>
  </si>
  <si>
    <t>13-4-1G-Ap-A-int-graph-inc-dec-2-jms.pg; rewritten version of 8-1-3-U-C-der-cubic-inc-dec-jms.pg</t>
  </si>
  <si>
    <t>13-4-2G</t>
  </si>
  <si>
    <t>apply the FTC and earlier knowledge to determine intervals of concavity of functions presented as integrals  WITH INTEGRAND GIVEN AS A GRAPH</t>
  </si>
  <si>
    <t>13-4-2G-Ap-A-int-graph-concave-1-jms.pg; dropdown; rewritten version of 8-2-4-U-I-pw-frst-der-concave-jms.pg</t>
  </si>
  <si>
    <t>13-4-2G-Ap-A-int-graph-concave-2-jms.pg; interval; rewritten versionof 8-2-4-U-I-cubic-first-der-concave-jms.pg</t>
  </si>
  <si>
    <t>13-4-3G</t>
  </si>
  <si>
    <t>apply the FTC and the First Derivative Test to find local extrema of functions presented as integrals  WITH INTEGRAND GIVEN AS A GRAPH</t>
  </si>
  <si>
    <t>13-4-3G-Ap-A-loc-ext-int-graph-1-jms.pg; drop down; rewritten version of 9-1-2-U-C-pw-der-ext-2-no-int-jms.pg</t>
  </si>
  <si>
    <t>13-4-4G</t>
  </si>
  <si>
    <t>apply the FTC and the Closed Interval Method to find global extrema of functions presented as integrals on a closed interval  WITH INTEGRAND GIVEN AS A GRAPH</t>
  </si>
  <si>
    <t>13-4-4G-Ap-A-ftc-closed-int-jms-1.pg; numeric; piecewise linear; 3 critical points; find value of global max and global min (not x-values); rewritten version of 12-3-1-Ap-C-area-graph-1-jms.pg</t>
  </si>
  <si>
    <t>13-4-4G-Ap-A-ftc-closed-int-jms-2.pg; numeric; rewritten version of 12-3-1-Ap-C-area-graph-2-jms.pg</t>
  </si>
  <si>
    <t>13-0-1</t>
  </si>
  <si>
    <t>state the Fundamental Theorem of Calculus (FTC)</t>
  </si>
  <si>
    <t>13-0-1-R-C-state-ftc-jms.pg; dropdown and numeric; indicate partial area function is an anitiderivative; indicate that any antiderivative can be used for computing definite integrals.</t>
  </si>
  <si>
    <t>13-0-2</t>
  </si>
  <si>
    <t>demonstrate the relationship between differentiation and integration by using examples (e-g-, f(x) = x, f(x) = x^2)</t>
  </si>
  <si>
    <t>13-0-2-C-C-cpt-anti-der-int-jms-1.pg; function; evaluate explicit antierivative given in terms of integrals; evaluate derivative of integral; integrand is binomial quadratic or linear</t>
  </si>
  <si>
    <t>13-0-2-C-C-cpt-anti-der-int-jms-2.pg; same question with trig and exponential</t>
  </si>
  <si>
    <t>13-1-1</t>
  </si>
  <si>
    <t>apply the FTC to evaluate definite integrals of polynomial functions</t>
  </si>
  <si>
    <t>13-1-1-Ap-C-poly-definite-jms-1.pg; numeric; evaluate two definite integrals of polynomial functions; one binomial and one trinomial</t>
  </si>
  <si>
    <t>13-1-1-Ap-C-poly-definite-jms-2.pg; same question with powers and intervals slightly adjusted</t>
  </si>
  <si>
    <t>13-1-2</t>
  </si>
  <si>
    <t>apply the FTC to evaluate definite integrals of exponential functions</t>
  </si>
  <si>
    <t>13-1-2-Ap-C-exp-definite-jms-1.pg; evaluate to integrals of exponential functions; one e^x + c, one e^x + e^-x</t>
  </si>
  <si>
    <t>13-1-2-Ap-C-exp-ln-definite-jms-2.pg; exp and log (integral of 1/x); modified from ver 1</t>
  </si>
  <si>
    <t>13-1-3</t>
  </si>
  <si>
    <t>apply the FTC to evaluate definite integrals of trigonometric functions</t>
  </si>
  <si>
    <t>13-1-3-Ap-C-trig-definite-jms-1.pg; integral of Acos+B and Asin+Bcos, first quardrant special angles only, second from 0 to positive angle</t>
  </si>
  <si>
    <t>13-1-3-Ap-C-trig-definite-jms-2.pg; integral of Acos and Asin first quardrant special angles only, first - to + (symmetric); second from 0 to positive angle</t>
  </si>
  <si>
    <t>13-1-4</t>
  </si>
  <si>
    <t>apply the FTC to evaluate definite integrals of piecewise functions</t>
  </si>
  <si>
    <t>13-1-4-Ap-C-pw-def-int-1-jms.pg; numeric; linear function and scalar multiple of square root</t>
  </si>
  <si>
    <t>13-1-4-Ap-C-pw-def-int-2-jms.pg; numeric; polynomial and 1/sqrt(x) + const</t>
  </si>
  <si>
    <t>13-1-4-Ap-C-pw-def-int-3-jms.pg; numeric; exponential and cos</t>
  </si>
  <si>
    <t>13-1-4-Ap-C-pw-def-int-4-jms.pg; numeric; exponential(-x) and sin</t>
  </si>
  <si>
    <t>13-2-1</t>
  </si>
  <si>
    <t>apply the FTC and integration by substitution to evalute definite integrals</t>
  </si>
  <si>
    <t>13-2-1-Ap-C-definite-sub-jms-1.pg; numeric; e^sqrt(x)/sqrt(x) and (ln(x) + r)^2/x</t>
  </si>
  <si>
    <t>13-2-1-Ap-C-definite-sub-jms-2.pg; numeric; xcos(x^2+a) and cos(x)sqrt(sin(x))</t>
  </si>
  <si>
    <t>13-2-1-Ap-C-definite-sub-jms-3-abstract.pg; numeric; uknown function; use substitution twice to relate to given integrals</t>
  </si>
  <si>
    <t>13-2-2</t>
  </si>
  <si>
    <t>recognize that the limits of integration in a definite integral change when using a substitution</t>
  </si>
  <si>
    <t>13-2-2-U-C-def-sub-mc-1-jms.pg; multiple choice; u=ax+b; integrand is unknown function; simple distractors (error in differential, not changing limits)</t>
  </si>
  <si>
    <t>13-2-2-U-C-def-sub-mc-2-jms.pg; multiple choice; u = ax^2 and unknown function</t>
  </si>
  <si>
    <t>13-2-2-U-C-def-sub-mc-3-jms.pg; multiple choice; u = sin(x) with square root of sin^2+b</t>
  </si>
  <si>
    <t>13-2-2-U-C-def-sub-mc-4-jms.pg; multiple choice; u = ln(x) + b with squre root of ln(x) + b</t>
  </si>
  <si>
    <t>13-3-1</t>
  </si>
  <si>
    <t>apply the FTC to compute derivatives of functions presented as integrals</t>
  </si>
  <si>
    <t>13-3-1-Ap-I-der-int-jms-1.pg; function; derivative of a definite and intedefinite integral; cannot integrate either of the functions presented with MATH 249 techniques</t>
  </si>
  <si>
    <t>13-3-1-Ap-I-der-int-jms-2.pg; function; derivative of a definite and intedefinite integral; cannot integrate either of the functions presented with MATH 249 techniques; order reversed from other verson</t>
  </si>
  <si>
    <t>13-3-2</t>
  </si>
  <si>
    <t>apply the FTC and the chain rule to compute derivatives of functions presented as integrals</t>
  </si>
  <si>
    <t>13-3-2-Ap-I-ftc-chain-1-jms.pg; function; one is with x^2 and the other has x in upper and lower limits of integration</t>
  </si>
  <si>
    <t>13-3-2-Ap-I-ftc-chain-2-jms.pg; function;  one has e^x as upper limit, the second requires chain rule twice</t>
  </si>
  <si>
    <t>14-0-0</t>
  </si>
  <si>
    <t>define and identify improper integrals, evaluate two types of improper integrals by direct computation and comparison</t>
  </si>
  <si>
    <t>High-level outcome (for course outline); short name: #14-0-0-C; improper integrals</t>
  </si>
  <si>
    <t>No. of 14-0-0-C problems --- &gt;&gt;&gt;</t>
  </si>
  <si>
    <t>14-2-2</t>
  </si>
  <si>
    <t>use the Comparison Test to evaluate the convergence/divergence of explicit improper integrals</t>
  </si>
  <si>
    <t>14-2-2-Ap-A-use-comparison-test-AT.pg</t>
  </si>
  <si>
    <t>14-0-1</t>
  </si>
  <si>
    <t>identify an integral as being improper because it is over an infinite interval</t>
  </si>
  <si>
    <t>14-0-1-R-C-infinite-interval-AT.pg</t>
  </si>
  <si>
    <t>14-0-2</t>
  </si>
  <si>
    <t>identify an integral as improper because the function has a vertical asymptote in the domain of integration (algebraically)</t>
  </si>
  <si>
    <t>14-0-2-U-C-asymptote-algebraic-AT.pg</t>
  </si>
  <si>
    <t>14-0-3</t>
  </si>
  <si>
    <t>identify an integral as improper because the function has a vertical asymptote in the domain of integration (graphically)</t>
  </si>
  <si>
    <t>14-0-3-U-C-asymptote-graphic-2-AT.pg</t>
  </si>
  <si>
    <t>14-0-4</t>
  </si>
  <si>
    <t>state the definition of convergence/divergence for an improper integral</t>
  </si>
  <si>
    <t>14-0-4-R-I-improper-conv-div-AT.pg;</t>
  </si>
  <si>
    <t>14-1-1</t>
  </si>
  <si>
    <t>compute improper integrals over an infinite interval</t>
  </si>
  <si>
    <t>14-1-1-Ap-I-compute-improper-int-inf-AT.pg</t>
  </si>
  <si>
    <t>14-1-2</t>
  </si>
  <si>
    <t>compute improper integrals over a finite interval where a function has a vertical asymptote</t>
  </si>
  <si>
    <t xml:space="preserve">14-1-2-Ap-I-compute-improper-int-AT.pg; </t>
  </si>
  <si>
    <t>14-2-1</t>
  </si>
  <si>
    <t>state the Comparison Test for improper integrals</t>
  </si>
  <si>
    <t>14-2-1-R-I-comparison-test-def-AT.pg</t>
  </si>
  <si>
    <t>14-2-3</t>
  </si>
  <si>
    <t>use the Comparison Test to evaluate the convergence/divergence of abstract improper integrals</t>
  </si>
  <si>
    <t>14-2-3-Ap-I-abstract-comparison-test-AT.pg</t>
  </si>
  <si>
    <t>CLO/ADLO</t>
  </si>
  <si>
    <t>QUESTION 1</t>
  </si>
  <si>
    <t>QUESTION 2</t>
  </si>
  <si>
    <t>QUESTION 3</t>
  </si>
  <si>
    <t>QUESTION 4</t>
  </si>
  <si>
    <t>QUESTION 5</t>
  </si>
  <si>
    <t>1-0-0-C</t>
  </si>
  <si>
    <t>Domain and range</t>
  </si>
  <si>
    <t>Classes of functions</t>
  </si>
  <si>
    <t>Equation of a line</t>
  </si>
  <si>
    <t>Intercepts</t>
  </si>
  <si>
    <t>Input to a function</t>
  </si>
  <si>
    <t>249-1-0-0-C/1-6-0-U-C/1-6-0-U-C-rational-dom-jms.pg</t>
  </si>
  <si>
    <t>249-1-0-0-C/1-4-0-U-C/1-4-0-U-C-drop-down-jms_1.pg</t>
  </si>
  <si>
    <t>249-1-0-0-C/1-1-3-U-C/1-1-3-U-C-point-slope-jms.pg</t>
  </si>
  <si>
    <t>249-1-0-0-C/1-1-4-U-C/1-1-4-U-C-num-int-jms.pg</t>
  </si>
  <si>
    <t>249-1-0-0-C/1-2-0-An-C/1-2-0-An-C-fcn-sub-jms.pg</t>
  </si>
  <si>
    <t>249-1-0-0-C/1-6-0-U-C/1-6-0-U-C-alg-dom-dg.pg</t>
  </si>
  <si>
    <t>249-1-0-0-C/1-4-0-U-C/1-4-0-U-C-rational1-jms.pg</t>
  </si>
  <si>
    <t>249-1-0-0-C/1-1-1-U-C/1-1-1-U-C-slope-int-1-jms.pg</t>
  </si>
  <si>
    <t>249-1-0-0-C/1-1-4-U-C/1-1-4-U-C-int-from-eq-jms.pg</t>
  </si>
  <si>
    <t>249-1-0-0-C/1-1-0-An-C/1-1-0-An-C-interpret-graph1.pg</t>
  </si>
  <si>
    <t>249-1-0-0-C/1-1-1-U-C/1-1-1-U-C-slope-int-2-jms.pg</t>
  </si>
  <si>
    <t>2-0-0-C</t>
  </si>
  <si>
    <t>Factoring</t>
  </si>
  <si>
    <t>Finding roots (wording)</t>
  </si>
  <si>
    <t>Finding solutions to an equation (wording)</t>
  </si>
  <si>
    <t>Points of intersection</t>
  </si>
  <si>
    <t>Finding solutions involving trig</t>
  </si>
  <si>
    <t>249-2-0-0-C/2-1-0-Ap-C/2-1-0-Ap-C-factor-blanks-jms.pg</t>
  </si>
  <si>
    <t>249-2-0-0-C/2-1-0-Ap-C/2-1-0-Ap-C-factor-root-jms.pg</t>
  </si>
  <si>
    <t>249-2-0-0-C/2-2-0-Ap-C/2-2-0-Ap-C-abs-quad-jms.pg</t>
  </si>
  <si>
    <t>249-2-0-0-C/2-2-1-Ap-C/2-2-1-Ap-C-poly-int-jms.pg</t>
  </si>
  <si>
    <t>249-2-0-0-C/2-2-3-Ap-C/2-2-3-Ap-C-sin-eq-jms.pg</t>
  </si>
  <si>
    <t>249-2-0-0-C/2-1-0-Ap-C/2-1-0-Ap-C-factor-blanks-v2-jms.pg</t>
  </si>
  <si>
    <t>249-2-0-0-C/2-1-0-Ap-C/2-1-0-Ap-C-factor-root-v2-jms.pg</t>
  </si>
  <si>
    <t>249-2-0-0-C/2-2-2-Ap-C/2-2-2-Ap-C-lin-log-jms.pg</t>
  </si>
  <si>
    <t>249-2-0-0-C/2-2-1-Ap-C/2-2-1-Ap-C-poly-int-v2-jms.pg</t>
  </si>
  <si>
    <t>249-2-0-0-C/2-2-3-Ap-C/2-2-3-Ap-C-cos-eq-jms.pg</t>
  </si>
  <si>
    <t>249-2-0-0-C/2-2-0-Ap-C/2-2-0-Ap-C-quad-log-jms.pg</t>
  </si>
  <si>
    <t>249-2-0-0-C/2-2-1-Ap-C/2-2-1-Ap-C-quad-lin-int-jms.pg</t>
  </si>
  <si>
    <t>249-2-0-0-C/2-2-3-Ap-C/2-2-3-Ap-C-trig-x-jms.pg</t>
  </si>
  <si>
    <t>249-2-0-0-C/2-2-2-Ap-C/2-2-2-Ap-C-quad-log-dist-jms.pg</t>
  </si>
  <si>
    <t>3-0-0-C</t>
  </si>
  <si>
    <t>EVT vs. MVT vs. IVT</t>
  </si>
  <si>
    <t>Types of calculus problem</t>
  </si>
  <si>
    <t>Differentiation vs. integration</t>
  </si>
  <si>
    <t>Appropriate approximation method</t>
  </si>
  <si>
    <t>Method to determine extrema</t>
  </si>
  <si>
    <t>249-3-0-0-C/3-7-0-Ap-I/3-7-0-Ap-I-drop-down-jms.pg</t>
  </si>
  <si>
    <t>249-3-0-0-C/3-1-0-Ap-I/3-1-0-Ap-I-opt-funct-jms.pg</t>
  </si>
  <si>
    <t>249-3-0-0-C/3-6-0-Ap-I/3-6-0-Ap-I-drop-down-detail-jms.pg</t>
  </si>
  <si>
    <t>249-3-0-0-C/3-4-0-E-I/3-4-0-E-I-approx-choice-jms.pg</t>
  </si>
  <si>
    <t>249-3-0-0-C/3-5-1-Ap-I/3-5-1-Ap-I-opt-choice-jms.pg</t>
  </si>
  <si>
    <t>249-3-0-0-C/3-7-0-Ap-I/3-7-0-Ap-I-value-choice-jms.pg</t>
  </si>
  <si>
    <t>249-3-0-0-C/3-1-0-Ap-I/3-1-0-Ap-I-approx-funct-jms.pg</t>
  </si>
  <si>
    <t>249-3-0-0-C/3-6-0-Ap-I/3-6-0-Ap-I-drop-down-jms.pg</t>
  </si>
  <si>
    <t>249-3-0-0-C/3-4-0-E-I/3-4-0-E-I-approx-choice-v2-jms.pg</t>
  </si>
  <si>
    <t>249-3-0-0-C/3-5-1-Ap-I/3-5-1-Ap-I-second-der-test-jms.pg</t>
  </si>
  <si>
    <t>249-3-0-0-C/3-5-1-Ap-I/3-5-1-Ap-I-first-der-test-jms.pg</t>
  </si>
  <si>
    <t>4-0-0-I</t>
  </si>
  <si>
    <t>Linear approximation</t>
  </si>
  <si>
    <t>Taylor polynomials</t>
  </si>
  <si>
    <t>Newton's Method</t>
  </si>
  <si>
    <t>Approximate change based on differential</t>
  </si>
  <si>
    <t>IVT</t>
  </si>
  <si>
    <t>249-4-0-0-I/4-1-1-Ap-C/4-1-1-Ap-C-power-jms.pg</t>
  </si>
  <si>
    <t>249-4-0-0-I/4-2-1-Ap-C/4-2-1-Ap-C-taylor-poly-approx-AT.pg</t>
  </si>
  <si>
    <t>249-4-0-0-I/4-4-0-Ap-C/4-4-0-Ap-C-nm-cubic-jms.pg</t>
  </si>
  <si>
    <t>249-4-0-0-I/4-3-1-Ap-I/4-3-1-Ap-I-fcn-change1-jms.pg</t>
  </si>
  <si>
    <t>249-4-0-0-I/4-3-3-Ap-I/4-3-3-Ap-I-ivt-mc-jms.pg</t>
  </si>
  <si>
    <t>249-4-0-0-I/4-1-1-Ap-C/4-1-1-Ap-C-log-jms.pg</t>
  </si>
  <si>
    <t>249-4-0-0-I/4-4-0-Ap-C/4-4-0-Ap-C-nm-log-jms.pg</t>
  </si>
  <si>
    <t>249-4-0-0-I/4-3-1-Ap-I/4-3-1-Ap-I-fcn-change-2-jms.pg</t>
  </si>
  <si>
    <t>249-4-0-0-I/4-3-3-Ap-I/4-3-3-Ap-I-ivt-mc-no-sol-jms.pg</t>
  </si>
  <si>
    <t>249-4-0-0-I/4-1-2-E-I/4-1-2-E-I-poly-over-under-jms.pg</t>
  </si>
  <si>
    <t>249-4-0-0-I/4-3-1-Ap-I/4-3-1-Ap-I-fcn-change-3-jms.pg</t>
  </si>
  <si>
    <t>249-4-0-0-I/4-1-2-E-I/4-1-2-E-I-graph-overunder-jms.pg</t>
  </si>
  <si>
    <t>5-0-0-C</t>
  </si>
  <si>
    <t>Limits from a graph</t>
  </si>
  <si>
    <t>Basic limits</t>
  </si>
  <si>
    <t>Limits at infinity and infinite limits</t>
  </si>
  <si>
    <t>Continuity and discontinuities</t>
  </si>
  <si>
    <t>The definition of a limit</t>
  </si>
  <si>
    <t>249-5-0-0-C/5-2-1-An-C/5-2-1-An-C-limit-graph-1-jms.pg</t>
  </si>
  <si>
    <t>249-5-0-0-C/5-2-2-An-C/5-2-2-An-C-compute-limits-1-jms.pg</t>
  </si>
  <si>
    <t>249-5-0-0-C/5-2-2-An-C/5-2-2-An-C-compute-limits-3-inf-jms.pg</t>
  </si>
  <si>
    <t>249-5-0-0-C/5-5-1-U-C/5-5-1-U-C-discon-graph-1-jms.pg</t>
  </si>
  <si>
    <t>249-5-0-0-C/5-1-1-R-C/5-1-1-R-C-defn-mc-jms.pg</t>
  </si>
  <si>
    <t>249-5-0-0-C/5-2-1-An-C/5-2-1-An-C-limit-graph-2-jms.pg</t>
  </si>
  <si>
    <t>249-5-0-0-C/5-2-2-An-C/5-2-2-An-C-compute-limits-2-jms.pg</t>
  </si>
  <si>
    <t>249-5-0-0-C/5-4-1-U-C/5-4-1-U-C-asymp-dd-jms.pg</t>
  </si>
  <si>
    <t>249-5-0-0-C/5-5-1-U-C/5-5-1-U-C-dicon-graph-2-jms.pg</t>
  </si>
  <si>
    <t>249-5-0-0-C/5-1-1-R-C/5-1-1-R-C-defn-neg-inf-mc-jms.pg</t>
  </si>
  <si>
    <t>249-5-0-0-C/5-2-1-An-C/5-2-1-An-C-limit-graph-3-jms.pg</t>
  </si>
  <si>
    <t>249-5-0-0-C/5-2-3-An-C/5-2-3-An-C-pw-limit-1-jms.pg</t>
  </si>
  <si>
    <t>249-5-0-0-C/5-4-1-U-C/5-4-1-U-C-asymp-num-dd-jms.pg</t>
  </si>
  <si>
    <t>249-5-0-0-C/5-5-1-U-C/5-5-1-U-C-discon-graph-3-jms.pg</t>
  </si>
  <si>
    <t>249-5-0-0-C/5-1-1-R-C/5-1-1-R-C-defn-inf-lim-mc-jms.pg</t>
  </si>
  <si>
    <t>249-5-0-0-C/5-2-3-An-C/5-2-3-An-C-pw-limit-2-jms.pg</t>
  </si>
  <si>
    <t>249-5-0-0-C/5-4-2-Ap-C/5-4-2-Ap-C-asymp-vert-jms.pg</t>
  </si>
  <si>
    <t>249-5-0-0-C/5-5-0-R-C/5-5-0-R-C-cont-def-dd-jms.pg</t>
  </si>
  <si>
    <t>249-5-0-0-C/5-1-1-R-C/5-1-1-R-C-defn-inf-mc-jms.pg</t>
  </si>
  <si>
    <t>249-5-0-0-C/5-2-3-An-C/5-2-3-An-C-pw-limit-3-jms.pg</t>
  </si>
  <si>
    <t>249-5-0-0-C/5-4-2-Ap-C/5-4-2-Ap-C-asymp-horiz-jms.pg</t>
  </si>
  <si>
    <t>249-5-0-0-C/5-5-2-U-C/5-5-2-U-C-pw-cont-1-jms.pg</t>
  </si>
  <si>
    <t>249-5-0-0-C/5-4-2-Ap-C/5-4-2-Ap-C-asymp-horiz-2-jms.pg</t>
  </si>
  <si>
    <t>249-5-0-0-C/5-5-2-U-C/5-5-2-U-C-pw-cont-2-jms.pg</t>
  </si>
  <si>
    <t>249-5-0-0-C/5-5-4-Ap-C/5-5-4-Ap-C-cont-int-1-jms.pg</t>
  </si>
  <si>
    <t>249-5-0-0-C/5-5-4-Ap-C/5-5-4-Ap-C-cont-int-2-jms.pg</t>
  </si>
  <si>
    <t>249-5-0-0-C/5-5-5-Ap-I/5-5-5-Ap-I-const-cont-1-jms.pg</t>
  </si>
  <si>
    <t>249-5-0-0-C/5-5-5-Ap-I/5-5-5-Ap-I-const-cont-2-jms.pg</t>
  </si>
  <si>
    <t>249-5-0-0-C/5-5-5-Ap-I/5-5-5-Ap-I-const-cont-3-jms.pg</t>
  </si>
  <si>
    <t>249-5-0-0-C/5-5-3-R-I/5-5-3-R-I-discon-defn-jms.pg</t>
  </si>
  <si>
    <t>6-0-0-C</t>
  </si>
  <si>
    <t>Limit definition of the derivative</t>
  </si>
  <si>
    <t>Slope and the tangent line</t>
  </si>
  <si>
    <t>Derivatives</t>
  </si>
  <si>
    <t>L'Hopital's Rule</t>
  </si>
  <si>
    <t>Application of derivatives/second derivatives</t>
  </si>
  <si>
    <t>249-6-0-0-C/6-1-1-R-C/6-1-1-R-C-defn-pt-1-jms.pg</t>
  </si>
  <si>
    <t>249-6-0-0-C/6-3-1-Ap-C/6-3-1-Ap-C-fcn-to-line-1-jms.pg</t>
  </si>
  <si>
    <t>249-6-0-0-C/6-9-2-U-C/6-9-2-U-C-der-dne-graph-1-jms.pg</t>
  </si>
  <si>
    <t>249-5-0-0-C/5-3-2-Ap-C/5-3-2-Ap-C-compute-lhop-1-jms.pg</t>
  </si>
  <si>
    <t>249-6-0-0-C/6-1-0-U-C/6-1-0-U-C-vel-acc-dd-jms.pg</t>
  </si>
  <si>
    <t>249-6-0-0-C/6-1-2-R-C/6-1-2-R-C-defn-fcn-1-jms.pg</t>
  </si>
  <si>
    <t>249-6-0-0-C/6-3-1-Ap-C/6-3-1-Ap-C-slope-1-jms.pg</t>
  </si>
  <si>
    <t>249-6-0-0-C/6-9-2-U-C/6-9-2-U-C-der-zero-graph-1-jms.pg</t>
  </si>
  <si>
    <t>249-5-0-0-C/5-3-2-Ap-C/5-3-2-Ap-C-compute-lhop-2-jms.pg</t>
  </si>
  <si>
    <t>249-6-0-0-C/6-1-0-U-C/6-1-0-U-C-reaction-dd-jms.pg</t>
  </si>
  <si>
    <t>249-6-0-0-C/6-1-2-R-C/6-1-2-R-C-defn-fcn-2-jms.pg</t>
  </si>
  <si>
    <t>249-6-0-0-C/6-3-1-Ap-C/6-3-1-Ap-C-fcn-to-line-2-jms.pg</t>
  </si>
  <si>
    <t>249-6-0-0-C/6-9-2-U-C/6-9-2-U-C-der-zero-graph-2-jms.pg</t>
  </si>
  <si>
    <t>249-5-0-0-C/5-3-2-Ap-C/5-3-2-Ap-C-compute-lhop-3-jms.pg</t>
  </si>
  <si>
    <t>249-6-0-0-C/6-1-0-U-C/6-1-0-U-C-cost-dd-jms.pg</t>
  </si>
  <si>
    <t>249-6-0-0-C/6-9-1-U-C/6-9-1-U-C-line-to-fcn-1-jms.pg</t>
  </si>
  <si>
    <t>249-6-0-0-C/6-10-1-Ap-C/6-10-1-Ap-C-inv-table-1-jms.pg</t>
  </si>
  <si>
    <t>249-5-0-0-C/5-3-4-Ap-I/5-3-4-Ap-I-compute-lhop-power-jms.pg</t>
  </si>
  <si>
    <t>249-6-0-0-C/6-1-0-U-C/6-1-0-U-C-pop-dd-jms.pg</t>
  </si>
  <si>
    <t>249-6-0-0-C/6-9-1-U-C/6-9-1-U-C-line-to-fcn-2-jms.pg</t>
  </si>
  <si>
    <t>249-6-0-0-C/6-10-1-Ap-C/6-10-1-Ap-C-inv-der-from-graph-1-jms.pg</t>
  </si>
  <si>
    <t>249-5-0-0-C/5-3-4-Ap-I/5-3-4-Ap-I-compute-lhop-product-jms.pg</t>
  </si>
  <si>
    <t>249-6-0-0-C/6-9-2-U-C/6-9-2-U-C-der-from-graph-1-jms.pg</t>
  </si>
  <si>
    <t>249-6-0-0-C/6-10-2-Ap-C/6-10-2-Ap-C-inv-trig-1-jms.pg</t>
  </si>
  <si>
    <t>249-5-0-0-C/5-3-4-Ap-I/5-3-4-Ap-I-compute-lhop-difference-jms.pg</t>
  </si>
  <si>
    <t> 249-6-0-0-C/6-10-2-Ap-C/6-10-2-Ap-C-inv-trig-2-jms.pg</t>
  </si>
  <si>
    <t>7-0-0-C</t>
  </si>
  <si>
    <t>Product rule</t>
  </si>
  <si>
    <t>Quotient rule</t>
  </si>
  <si>
    <t>Chain rule</t>
  </si>
  <si>
    <t>Multiple rules</t>
  </si>
  <si>
    <t>Differentiation at x=a</t>
  </si>
  <si>
    <t>249-7-0-0-C/7-2-1-Ap-C/7-2-1-Ap-C-simple-prod1-mlb.pg</t>
  </si>
  <si>
    <t>249-7-0-0-C/7-2-2-Ap-C/7-2-2-Ap-C-simple-quo1-mlb.pg</t>
  </si>
  <si>
    <t>249-7-0-0-C/7-2-3-Ap-C/7-2-3-Ap-C-simple-chain1-mlb.pg</t>
  </si>
  <si>
    <t>249-7-0-0-C/7-2-6-Ap-I/7-2-6-Ap-I-mtpl-prod-chain-1-cmm.pg</t>
  </si>
  <si>
    <t>249-7-0-0-C/7-2-5-Ap-I/7-2-5-Ap-I-mtpl-chain-2-cmm.pg</t>
  </si>
  <si>
    <t>249-7-0-0-C/7-2-1-Ap-C/7-2-1-Ap-C-simple-prod2-mlb.pg</t>
  </si>
  <si>
    <t>249-7-0-0-C/7-2-2-Ap-C/7-2-2-Ap-C-quo2-mlb.pg</t>
  </si>
  <si>
    <t>249-7-0-0-C/7-2-3-Ap-C/7-2-3-Ap-C-simple-chain2-mlb.pg</t>
  </si>
  <si>
    <t>249-7-0-0-C/7-2-4-Ap-I/7-2-4-Ap-I-mtpl-prod-2-cmm.pg</t>
  </si>
  <si>
    <t>249-7-0-0-C/7-2-6-Ap-I/7-2-6-Ap-I-mtpl-prod-chain-3-cmm.pg</t>
  </si>
  <si>
    <t>249-7-0-0-C/7-2-1-Ap-C/7-2-1-Ap-C-prod-mlb.pg</t>
  </si>
  <si>
    <t>249-7-0-0-C/7-2-2-Ap-C/7-2-2-Ap-C-simple-quo2-mlb.pg</t>
  </si>
  <si>
    <t>249-7-0-0-C/7-2-5-Ap-I/7-2-5-Ap-I-mtpl-chain-1-cmm.pg</t>
  </si>
  <si>
    <t>249-7-0-0-C/7-2-4-Ap-I/7-2-4-Ap-I-mtpl-prod-1-cmm.pg</t>
  </si>
  <si>
    <t>249-7-0-0-C/7-2-4-Ap-I/7-2-4-Ap-I-mtpl-prod-3-cmm.pg</t>
  </si>
  <si>
    <t>249-7-0-0-C/7-2-6-Ap-I/7-2-6-Ap-I-mtpl-prod-chain-2-cmm.pg</t>
  </si>
  <si>
    <t>8-0-0-C</t>
  </si>
  <si>
    <t>Intervals of increase/decrease</t>
  </si>
  <si>
    <t>Intervals of increase/decrease  from first derivative graph</t>
  </si>
  <si>
    <t>Concavity</t>
  </si>
  <si>
    <t>Concavity from second derivative graph</t>
  </si>
  <si>
    <t>Concavity from first derivative graph</t>
  </si>
  <si>
    <t>249-8-0-0-C/8-1-2-U-C/8-1-2-U-C-pw-inc-dec-1-jms.pg</t>
  </si>
  <si>
    <t>249-8-0-0-C/8-1-3-U-C/8-1-3-U-C-pw-der-inc-dec-1-jms.pg</t>
  </si>
  <si>
    <t>249-8-0-0-C/8-2-3-U-C/8-2-3-U-C-concave-original-1-jms.pg</t>
  </si>
  <si>
    <t>249-8-0-0-C/8-2-5-U-C/8-2-5-U-C-pw-second-der-concave-1-jms.pg</t>
  </si>
  <si>
    <t>249-8-0-0-C/8-2-4-U-I/8-2-4-U-I-pw-frst-der-concave-jms.pg</t>
  </si>
  <si>
    <t>249-8-0-0-C/8-1-2-U-C/8-1-2-U-C-cubic-inc-dec-jms.pg</t>
  </si>
  <si>
    <t>249-8-0-0-C/8-1-3-U-C/8-1-3-U-C-pw-der-inc-dec-2-jms.pg</t>
  </si>
  <si>
    <t>249-8-0-0-C/8-2-3-U-C/8-2-3-U-C-concave-original-2-jms.pg</t>
  </si>
  <si>
    <t>249-8-0-0-C/8-2-5-U-C/8-2-5-U-C-sec-der-quart-conc-jms.pg</t>
  </si>
  <si>
    <t>249-8-0-0-C/8-2-4-U-I/8-2-4-U-I-cubic-first-der-concave-jms.pg</t>
  </si>
  <si>
    <t>249-8-0-0-C/8-1-2-U-C/8-1-2-U-C-quart-inc-dec-jms.pg</t>
  </si>
  <si>
    <t>249-8-0-0-C/8-1-3-U-C/8-1-3-U-C-der-cubic-inc-dec-jms.pg</t>
  </si>
  <si>
    <t>249-8-0-0-C/8-2-0-R-I/8-2-0-R-I-defn-conc-jms.pg</t>
  </si>
  <si>
    <t>249-8-0-0-C/8-1-1-R-C/8-1-1-R-C-state-der-inc-dec-jms.pg</t>
  </si>
  <si>
    <t>249-8-0-0-C/8-1-3-U-C/8-1-3-U-C-der-quart-inc-dec-jms.pg</t>
  </si>
  <si>
    <t>249-8-0-0-C/8-2-0-R-I/8-2-0-R-I-conc-defn-2-jms.pg</t>
  </si>
  <si>
    <t>249-8-0-0-C/8-1-1-R-C/8-1-1-R-C-state-der-inc-dec-2-jms.pg</t>
  </si>
  <si>
    <t>249-8-0-0-C/8-2-6-Ap-C/8-2-6-Ap-C-poly-1-jms.pg</t>
  </si>
  <si>
    <t>249-8-0-0-C/8-1-0-R-I/8-1-0-R-I-defn-inc-dec-jms.pg</t>
  </si>
  <si>
    <t>249-8-0-0-C/8-2-6-Ap-C/8-2-6-Ap-C-rational-2-jms.pg</t>
  </si>
  <si>
    <t>249-8-0-0-C/8-1-0-R-I/8-1-0-R-I-defn-inc-dec-2-jms.pg</t>
  </si>
  <si>
    <t>249-8-0-0-C/8-2-6-Ap-C/8-2-6-Ap-C-abstract-3-jms.pg</t>
  </si>
  <si>
    <t>249-8-0-0-C/8-1-4-Ap-C/8-1-4-Ap-C-danny-1.pg</t>
  </si>
  <si>
    <t>249-8-0-0-C/8-2-6-Ap-C/8-2-6-Ap-C-exp-3-jms.pg</t>
  </si>
  <si>
    <t>249-8-0-0-C/8-1-4-Ap-C/8-1-4-Ap-C-abstract-1-jms.pg</t>
  </si>
  <si>
    <t>249-8-0-0-C/8-1-4-Ap-C/8-1-4-Ap-C-log-2-jms.pg</t>
  </si>
  <si>
    <t>249-8-0-0-C/8-1-4-Ap-C/8-1-4-Ap-C-poly-3-jms.pg</t>
  </si>
  <si>
    <t>9-0-0-C</t>
  </si>
  <si>
    <t>Local extrema</t>
  </si>
  <si>
    <t>Global extrema</t>
  </si>
  <si>
    <t>Extrema from first derivative graph</t>
  </si>
  <si>
    <t>Optimization (setup)</t>
  </si>
  <si>
    <t>Optimization (full)</t>
  </si>
  <si>
    <t>249-9-0-0-C/9-1-4-Ap-C/9-1-4-Ap-C-danny-1.pg</t>
  </si>
  <si>
    <t>249-9-0-0-C/9-4-3-Ap-C/9-4-3-Ap-C-closed-int-jms-1.pg</t>
  </si>
  <si>
    <t>249-9-0-0-C/9-1-2-U-C/9-1-2-U-C-pw-der-ext-1-jms.pg</t>
  </si>
  <si>
    <t>249-9-0-0-C/9-5-1-An-C/9-5-1-An-C-box-cost-jms.pg</t>
  </si>
  <si>
    <t>249-9-0-0-C/9-5-2-Ap-C/9-5-2-Ap-C-fence-full-jms.pg</t>
  </si>
  <si>
    <t> 249-9-0-0-C/9-1-3-Ap-C/9-1-3-Ap-C-fdt-abs-jms-1.pg</t>
  </si>
  <si>
    <t>249-9-0-0-C/9-4-3-Ap-C/9-4-3-Ap-C-closed-int-jms-2.pg</t>
  </si>
  <si>
    <t>249-9-0-0-C/9-1-2-U-C/9-1-2-U-C-pw-der-ext-2-no-int-jms.pg</t>
  </si>
  <si>
    <t>249-9-0-0-C/9-5-1-An-C/9-5-1-An-C-fence-set-up-jms.pg</t>
  </si>
  <si>
    <t>249-9-0-0-C/9-5-2-Ap-C/9-5-2-Ap-C-box-cost-full-jms.pg</t>
  </si>
  <si>
    <t>249-9-0-0-C/9-1-4-Ap-C/9-1-4-Ap-C-sdt-jms-1.pg</t>
  </si>
  <si>
    <t>249-9-0-0-C/9-3-3-U-C/9-3-3-U-C-pw-glob-ext-1-jms.pg</t>
  </si>
  <si>
    <t>249-9-0-0-C/9-3-4-U-C/9-3-4-U-C-pw-der-glob-ext-jms.pg</t>
  </si>
  <si>
    <t>249-9-0-0-C/9-5-1-An-C/9-5-1-An-C-open-box-set-up-jms.pg</t>
  </si>
  <si>
    <t>249-9-0-0-C/9-5-2-Ap-C/9-5-2-Ap-C-open-box-full-jms.pg</t>
  </si>
  <si>
    <t>249-9-0-0-C/9-1-4-Ap-C/9-1-4-Ap-C-sdt-jms-3.pg</t>
  </si>
  <si>
    <t>249-9-0-0-C/9-3-2-U-C/9-3-2-U-C-pw-loc-glob-ext-1-jms.pg</t>
  </si>
  <si>
    <t>249-9-0-0-C/9-5-1-An-C/9-5-1-An-C-cylinder-set-up-jms.pg</t>
  </si>
  <si>
    <t>249-9-0-0-C/9-5-2-Ap-C/9-5-2-Ap-C-cylinder-cost-jms.pg</t>
  </si>
  <si>
    <t>249-9-0-0-C/9-1-1-U-C/9-1-1-U-C-pw-loc-ext-1-jms.pg</t>
  </si>
  <si>
    <t>249-9-0-0-C/9-1-1-U-C/9-1-1-U-C-quart-ext-jms.pg</t>
  </si>
  <si>
    <t>10-0-0-I</t>
  </si>
  <si>
    <t>Stating the MVT</t>
  </si>
  <si>
    <t>Use the MVT to make a claim about f(a)</t>
  </si>
  <si>
    <t>MVT and graphing</t>
  </si>
  <si>
    <t>MVT in a physical context</t>
  </si>
  <si>
    <t>Making a physical claim using the MVT</t>
  </si>
  <si>
    <t>249-10-0-0-I/10-0-1-R-I/10-0-1-R-I-state-mvt-jms.pg</t>
  </si>
  <si>
    <t>249-10-0-0-I/10-1-1-Ap-C/10-1-1-Ap-C-mvt-upper-lower-1-jms.pg</t>
  </si>
  <si>
    <t>249-10-0-0-I/10-0-2-U-C/10-0-2-U-C-mvt-meaning-3-jms.pg</t>
  </si>
  <si>
    <t>249-10-0-0-I/10-0-2-U-C/10-0-2-U-C-mvt-meaning-1-jms.pg</t>
  </si>
  <si>
    <t>249-10-0-0-I/10-1-2-Ap-C/10-1-2-Ap-C-mvt-speeding-tickets-jms.pg</t>
  </si>
  <si>
    <t>249-10-0-0-I/10-0-1-R-I/10-0-1-R-I-state-mvt-spec-jms.pg</t>
  </si>
  <si>
    <t>249-10-0-0-I/10-1-1-Ap-C/10-1-1-Ap-C-mvt-upper-lower-2-jms.pg</t>
  </si>
  <si>
    <t>249-10-0-0-I/10-0-2-U-C/10-0-2-U-C-mvt-meaning-4-jms.pg</t>
  </si>
  <si>
    <t>249-10-0-0-I/10-0-2-U-C/10-0-2-U-C-mvt-meaning-2-jms.pg</t>
  </si>
  <si>
    <t>249-10-0-0-I/10-1-2-Ap-C/10-1-2-Ap-C-mvt-sound-jms.pg</t>
  </si>
  <si>
    <t>249-10-0-0-I/10-1-1-Ap-C/10-1-1-Ap-C-mvt-big-small-1-jms.pg</t>
  </si>
  <si>
    <t>249-10-0-0-I/10-1-1-Ap-C/10-1-1-Ap-C-mvt-big-small-2-jms.pg</t>
  </si>
  <si>
    <t>11-0-0-C</t>
  </si>
  <si>
    <t>Select all/choose antiderivatives</t>
  </si>
  <si>
    <t>Find general antiderivative</t>
  </si>
  <si>
    <t>Substitution</t>
  </si>
  <si>
    <t>Initial value problems</t>
  </si>
  <si>
    <t>Find differential</t>
  </si>
  <si>
    <t>249-11-0-0-C/11-1-1-An-C/11-1-1-An-C-anti-der-ms-1-jms.pg</t>
  </si>
  <si>
    <t>249-11-0-0-C/11-1-2-Ap-C/11-1-2-Ap-C-fcn-anti-der-1-jms.pg</t>
  </si>
  <si>
    <t>249-11-0-0-C/11-5-1-Ap-C/11-5-1-Ap-C-sub-anti-der-1-jms.pg</t>
  </si>
  <si>
    <t>249-11-0-0-C/11-3-1-Ap-I/11-3-1-Ap-I-ivp-1-jms.pg</t>
  </si>
  <si>
    <t>249-11-0-0-C/11-5-4-Ap-C/11-5-4-Ap-C-dx-1-jms.pg</t>
  </si>
  <si>
    <t>249-11-0-0-C/11-1-1-An-C/11-1-1-An-C-anti-der-ms-2-jms.pg</t>
  </si>
  <si>
    <t>249-11-0-0-C/11-1-2-Ap-C/11-1-2-Ap-C-fcn-anti-der-2-jms.pg</t>
  </si>
  <si>
    <t>249-11-0-0-C/11-5-1-Ap-C/11-5-1-Ap-C-sub-anti-der-2-jms.pg</t>
  </si>
  <si>
    <t>249-11-0-0-C/11-3-1-Ap-I/11-3-1-Ap-I-ivp-2-jms.pg</t>
  </si>
  <si>
    <t>249-11-0-0-C/11-5-4-Ap-C/11-5-4-Ap-C-dx-2-jms.pg</t>
  </si>
  <si>
    <t>249-11-0-0-C/11-1-1-An-C/11-1-1-An-C-anti-mc-1-jms.pg</t>
  </si>
  <si>
    <t>249-11-0-0-C/11-1-2-Ap-C/11-1-2-Ap-C-fcn-anti-der-3-jms.pg</t>
  </si>
  <si>
    <t>249-11-0-0-C/11-5-1-Ap-C/11-5-1-Ap-C-sub-anti-der-3-jms.pg</t>
  </si>
  <si>
    <t>249-11-0-0-C/11-3-1-Ap-I/11-3-1-Ap-I-ivp-3-jms.pg</t>
  </si>
  <si>
    <t>249-11-0-0-C/11-5-4-Ap-C/11-5-4-Ap-C-dx-3-jms.pg</t>
  </si>
  <si>
    <t>12-0-0-C</t>
  </si>
  <si>
    <t>Definition of a definite integral</t>
  </si>
  <si>
    <t>Area from graph (A)</t>
  </si>
  <si>
    <t>Area from graph (as integral)</t>
  </si>
  <si>
    <t>Integral of a piecewise function</t>
  </si>
  <si>
    <t>Definite integral from additional information</t>
  </si>
  <si>
    <t>249-12-0-0-C/12-1-2-U-C/12-1-2-U-C-def-int-idea-1-jms.pg</t>
  </si>
  <si>
    <t>249-12-0-0-C/12-2-1-An-C/12-2-1-An-C-area-function-1-jms.pg</t>
  </si>
  <si>
    <t>249-12-0-0-C/12-3-1-Ap-C/12-3-1-Ap-C-area-graph-1-jms.pg</t>
  </si>
  <si>
    <t>249-12-0-0-C/12-3-2-Ap-C/12-3-2-Ap-C-pw-def-no-ftc-1-jms.pg</t>
  </si>
  <si>
    <t>249-12-0-0-C/12-3-4-An-C/12-3-4-An-C-abstract-int-1-jms.pg</t>
  </si>
  <si>
    <t>249-12-0-0-C/12-1-2-U-C/12-1-2-U-C-def-int-idea-2-jms.pg</t>
  </si>
  <si>
    <t>249-12-0-0-C/12-2-1-An-C/12-2-1-An-C-area-function-2-jms.pg</t>
  </si>
  <si>
    <t>249-12-0-0-C/12-3-1-Ap-C/12-3-1-Ap-C-area-graph-2-jms.pg</t>
  </si>
  <si>
    <t>249-12-0-0-C/12-3-2-Ap-C/12-3-2-Ap-C-pw-def-no-ftc-2-jms.pg</t>
  </si>
  <si>
    <t>249-12-0-0-C/12-3-4-An-C/12-3-4-An-C-abstract-int-2-jms.pg</t>
  </si>
  <si>
    <t>249-12-0-0-C/12-1-2-U-C/12-1-2-U-C-application-1-jms.pg</t>
  </si>
  <si>
    <t>249-12-0-0-C/12-3-1-Ap-C/12-3-1-Ap-C-area-graph-3-jms.pg</t>
  </si>
  <si>
    <t>249-12-0-0-C/12-3-2-Ap-C/12-3-2-Ap-C-pw-def-no-ftc-3-jms.pg</t>
  </si>
  <si>
    <t>13-0-0-C</t>
  </si>
  <si>
    <t>Derivative of integral (FToC I)</t>
  </si>
  <si>
    <t>Evaluate definite integrals (FToC II)</t>
  </si>
  <si>
    <t>Definite integral of a piecewise function</t>
  </si>
  <si>
    <t>Substitution (definite integrals)</t>
  </si>
  <si>
    <t>Reading graph of the integral function</t>
  </si>
  <si>
    <t>249-13-0-0-C/13-0-2-C-C/13-0-2-C-C-cpt-anti-der-int-jms-1.pg</t>
  </si>
  <si>
    <t>249-13-0-0-C/13-1-0-Ap-C/13-1-1-Ap-C-poly-definite-jms-1.pg</t>
  </si>
  <si>
    <t>249-13-0-0-C/13-1-4-Ap-C/13-1-4-Ap-C-pw-def-int-1-jms.pg</t>
  </si>
  <si>
    <t>249-13-0-0-C/13-2-1-Ap-C/13-2-1-Ap-C-definite-sub-jms-1.pg</t>
  </si>
  <si>
    <t>249-13-0-0-C/13-4-G-Ap-A/13-4-1G-Ap-A-int-graph-inc-dec-1-jms.pg</t>
  </si>
  <si>
    <t>249-13-0-0-C/13-0-2-C-C/13-0-2-C-C-cpt-anti-der-int-jms-2.pg</t>
  </si>
  <si>
    <t>249-13-0-0-C/13-1-0-Ap-C/13-1-1-Ap-C-poly-definite-jms-2.pg</t>
  </si>
  <si>
    <t>249-13-0-0-C/13-1-4-Ap-C/13-1-4-Ap-C-pw-def-int-2-jms.pg</t>
  </si>
  <si>
    <t>249-13-0-0-C/13-2-1-Ap-C/13-2-1-Ap-C-definite-sub-jms-2.pg</t>
  </si>
  <si>
    <t>249-13-0-0-C/13-4-G-Ap-A/13-4-2G-Ap-A-int-graph-concave-1-jms.pg</t>
  </si>
  <si>
    <t>249-13-0-0-C/13-3-1-Ap-I/13-3-1-Ap-I-der-int-jms-1.pg</t>
  </si>
  <si>
    <t>249-13-0-0-C/13-1-0-Ap-C/13-1-2-Ap-C-exp-definite-jms-1.pg</t>
  </si>
  <si>
    <t>249-13-0-0-C/13-1-4-Ap-C/13-1-4-Ap-C-pw-def-int-3-jms.pg</t>
  </si>
  <si>
    <t>249-13-0-0-C/13-2-2-U-C/13-2-2-U-C-def-sub-mc-1-jms.pg</t>
  </si>
  <si>
    <t>249-13-0-0-C/13-4-G-Ap-A/13-4-1G-Ap-A-int-graph-inc-dec-2-jms.pg</t>
  </si>
  <si>
    <t>249-13-0-0-C/13-3-1-Ap-I/13-3-1-Ap-I-der-int-jms-2.pg</t>
  </si>
  <si>
    <t>249-13-0-0-C/13-1-0-Ap-C/13-1-2-Ap-C-exp-ln-definite-jms-2.pg</t>
  </si>
  <si>
    <t>249-13-0-0-C/13-1-4-Ap-C/13-1-4-Ap-C-pw-def-int-4-jms.pg</t>
  </si>
  <si>
    <t>249-13-0-0-C/13-2-2-U-C/13-2-2-U-C-def-sub-mc-2-jms.pg</t>
  </si>
  <si>
    <t>249-13-0-0-C/13-4-G-Ap-A/13-4-2G-Ap-A-int-graph-concave-2-jms.pg</t>
  </si>
  <si>
    <t>249-13-0-0-C/13-3-2-Ap-I/13-3-2-Ap-I-ftc-chain-1-jms.pg</t>
  </si>
  <si>
    <t>249-13-0-0-C/13-1-0-Ap-C/13-1-3-Ap-C-trig-definite-jms-1.pg</t>
  </si>
  <si>
    <t>249-13-0-0-C/13-2-2-U-C/13-2-2-U-C-def-sub-mc-3-jms.pg</t>
  </si>
  <si>
    <t>249-13-0-0-C/13-4-G-Ap-A/13-4-3G-Ap-A-loc-ext-int-graph-1-jms.pg</t>
  </si>
  <si>
    <t>249-13-0-0-C/13-3-2-Ap-I/13-3-2-Ap-I-ftc-chain-2-jms.pg</t>
  </si>
  <si>
    <t>249-13-0-0-C/13-1-0-Ap-C/13-1-3-Ap-C-trig-definite-jms-2.pg</t>
  </si>
  <si>
    <t>249-13-0-0-C/13-2-2-U-C/13-2-2-U-C-def-sub-mc-4-jms.pg</t>
  </si>
  <si>
    <t>249-13-0-0-C/13-4-G-Ap-A/13-4-4G-Ap-A-ftc-closed-int-jms-1.pg</t>
  </si>
  <si>
    <t>249-13-0-0-C/13-4-G-Ap-A/13-4-4G-Ap-A-ftc-closed-int-jms-2.pg</t>
  </si>
  <si>
    <t>14-0-0-C</t>
  </si>
  <si>
    <t>Definitions of improper integrals</t>
  </si>
  <si>
    <t>Identify improper integrals</t>
  </si>
  <si>
    <t>Evaluate improper integrals</t>
  </si>
  <si>
    <t>Definition of the Comparison Test</t>
  </si>
  <si>
    <t>Use the Comparison Test</t>
  </si>
  <si>
    <t>249-14-0-0-C/14-0-4-R-I/14-0-4-R-I-improper-conv-div-AT.pg</t>
  </si>
  <si>
    <t>249-14-0-0-C/14-0-1-R-C/14-0-1-R-C-infinite-interval-AT.pg</t>
  </si>
  <si>
    <t>249-14-0-0-C/14-1-2-Ap-I/14-1-2-Ap-I-compute-improper-int-AT.pg</t>
  </si>
  <si>
    <t>249-14-0-0-C/14-2-1-R-I/14-2-1-R-I-comparison-test-def-AT.pg</t>
  </si>
  <si>
    <t>249-14-0-0-C/14-2-2-Ap-A/14-2-2-Ap-A-use-comparison-test-AT.pg</t>
  </si>
  <si>
    <t>249-14-0-0-C/14-0-2-U-C/14-0-2-U-C-asymptote-algebraic-AT.pg</t>
  </si>
  <si>
    <t>249-14-0-0-C/14-2-3-Ap-I/14-2-3-Ap-I-abstract-comparison-test-AT.pg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</si>
</sst>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Aptos Narrow"/>
      <family val="2"/>
      <scheme val="minor"/>
    </font>
    <font>
      <b/>
      <sz val="11"/>
      <color theme="1"/>
      <name val="Aptos Narrow"/>
      <family val="2"/>
      <scheme val="minor"/>
    </font>
    <font>
      <sz val="11"/>
      <color rgb="FF242424"/>
      <name val="Aptos Narrow"/>
    </font>
    <font>
      <strike/>
      <sz val="11"/>
      <color theme="1"/>
      <name val="Aptos Narrow"/>
      <family val="2"/>
      <scheme val="minor"/>
    </font>
    <font>
      <b/>
      <sz val="11"/>
      <color rgb="FF242424"/>
      <name val="Aptos Narrow"/>
    </font>
    <font>
      <b/>
      <i/>
      <sz val="11"/>
      <color theme="1"/>
      <name val="Aptos Narrow"/>
      <family val="2"/>
      <scheme val="minor"/>
    </font>
    <font>
      <sz val="10"/>
      <color rgb="FF000000"/>
      <name val="System-Ui"/>
      <charset val="1"/>
    </font>
    <font>
      <sz val="11"/>
      <color rgb="FF000000"/>
      <name val="Aptos Narrow"/>
      <family val="2"/>
      <scheme val="minor"/>
    </font>
    <font>
      <i/>
      <sz val="11"/>
      <color theme="1"/>
      <name val="Aptos Narrow"/>
      <family val="2"/>
      <scheme val="minor"/>
    </font>
    <font>
      <sz val="11"/>
      <color rgb="FF212529"/>
      <name val="Aptos Narrow"/>
      <scheme val="minor"/>
    </font>
    <font>
      <sz val="11"/>
      <color rgb="FF000000"/>
      <name val="Aptos Narrow"/>
      <scheme val="minor"/>
    </font>
    <font>
      <b/>
      <sz val="11"/>
      <color rgb="FF000000"/>
      <name val="Aptos Narrow"/>
      <scheme val="minor"/>
    </font>
    <font>
      <sz val="10"/>
      <color rgb="FF212529"/>
      <name val="System-Ui"/>
      <charset val="1"/>
    </font>
    <font>
      <b/>
      <sz val="14"/>
      <color theme="1"/>
      <name val="Aptos Narrow"/>
      <family val="2"/>
      <scheme val="minor"/>
    </font>
    <font>
      <sz val="12"/>
      <color theme="1"/>
      <name val="Aptos Narrow"/>
      <family val="2"/>
      <scheme val="minor"/>
    </font>
    <font>
      <b/>
      <sz val="12"/>
      <color theme="1"/>
      <name val="Aptos Narrow"/>
      <family val="2"/>
      <scheme val="minor"/>
    </font>
    <font>
      <sz val="10"/>
      <color theme="1"/>
      <name val="Aptos Narrow"/>
      <family val="2"/>
      <scheme val="minor"/>
    </font>
    <font>
      <sz val="10"/>
      <color rgb="FF212529"/>
      <name val="Segoe UI"/>
    </font>
    <font>
      <sz val="10"/>
      <color rgb="FF000000"/>
      <name val="Aptos"/>
    </font>
  </fonts>
  <fills count="11">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50">
    <xf numFmtId="0" fontId="0" fillId="0" borderId="0" xfId="0"/>
    <xf numFmtId="0" fontId="1" fillId="0" borderId="0" xfId="0" applyFont="1" applyAlignment="1">
      <alignment wrapText="1"/>
    </xf>
    <xf numFmtId="0" fontId="0" fillId="2" borderId="0" xfId="0" applyFill="1"/>
    <xf numFmtId="164" fontId="0" fillId="2" borderId="0" xfId="0" applyNumberFormat="1" applyFill="1"/>
    <xf numFmtId="49" fontId="1" fillId="0" borderId="0" xfId="0" applyNumberFormat="1" applyFont="1" applyAlignment="1">
      <alignment wrapText="1"/>
    </xf>
    <xf numFmtId="49" fontId="0" fillId="2" borderId="0" xfId="0" applyNumberFormat="1" applyFill="1"/>
    <xf numFmtId="49" fontId="0" fillId="0" borderId="0" xfId="0" applyNumberFormat="1"/>
    <xf numFmtId="0" fontId="0" fillId="2" borderId="0" xfId="0" applyFill="1" applyAlignment="1">
      <alignment wrapText="1"/>
    </xf>
    <xf numFmtId="0" fontId="0" fillId="0" borderId="0" xfId="0" applyAlignment="1">
      <alignment wrapText="1"/>
    </xf>
    <xf numFmtId="0" fontId="2" fillId="0" borderId="0" xfId="0" applyFont="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4" fillId="0" borderId="0" xfId="0" applyFont="1"/>
    <xf numFmtId="0" fontId="5" fillId="0" borderId="0" xfId="0" applyFont="1" applyAlignment="1">
      <alignment wrapText="1"/>
    </xf>
    <xf numFmtId="0" fontId="0" fillId="7" borderId="0" xfId="0" applyFill="1" applyAlignment="1">
      <alignment wrapText="1"/>
    </xf>
    <xf numFmtId="0" fontId="0" fillId="7" borderId="0" xfId="0" applyFill="1"/>
    <xf numFmtId="0" fontId="1" fillId="0" borderId="0" xfId="0" applyFont="1"/>
    <xf numFmtId="0" fontId="3" fillId="4" borderId="0" xfId="0" applyFont="1" applyFill="1" applyAlignment="1">
      <alignment wrapText="1"/>
    </xf>
    <xf numFmtId="0" fontId="1" fillId="4"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2" fillId="4" borderId="0" xfId="0" applyFont="1" applyFill="1" applyAlignment="1">
      <alignment wrapText="1"/>
    </xf>
    <xf numFmtId="0" fontId="1" fillId="5" borderId="0" xfId="0" applyFont="1" applyFill="1" applyAlignment="1">
      <alignment wrapText="1"/>
    </xf>
    <xf numFmtId="0" fontId="9" fillId="0" borderId="0" xfId="0" applyFont="1" applyAlignment="1">
      <alignment wrapText="1"/>
    </xf>
    <xf numFmtId="0" fontId="10" fillId="0" borderId="0" xfId="0" applyFont="1" applyAlignment="1">
      <alignment wrapText="1"/>
    </xf>
    <xf numFmtId="0" fontId="10" fillId="6" borderId="0" xfId="0" applyFont="1" applyFill="1" applyAlignment="1">
      <alignment wrapText="1"/>
    </xf>
    <xf numFmtId="0" fontId="0" fillId="8" borderId="0" xfId="0" applyFill="1" applyAlignment="1">
      <alignment wrapText="1"/>
    </xf>
    <xf numFmtId="0" fontId="0" fillId="4" borderId="0" xfId="0" applyFill="1"/>
    <xf numFmtId="0" fontId="0" fillId="9" borderId="0" xfId="0" applyFill="1" applyAlignment="1">
      <alignment wrapText="1"/>
    </xf>
    <xf numFmtId="0" fontId="0" fillId="9" borderId="0" xfId="0" applyFill="1"/>
    <xf numFmtId="49" fontId="0" fillId="9" borderId="0" xfId="0" applyNumberFormat="1" applyFill="1"/>
    <xf numFmtId="0" fontId="12" fillId="0" borderId="0" xfId="0" applyFont="1" applyAlignment="1">
      <alignment wrapText="1"/>
    </xf>
    <xf numFmtId="0" fontId="13" fillId="0" borderId="0" xfId="0" applyFont="1" applyAlignment="1">
      <alignment horizontal="center" wrapText="1"/>
    </xf>
    <xf numFmtId="0" fontId="15" fillId="0" borderId="0" xfId="0" applyFont="1"/>
    <xf numFmtId="0" fontId="15" fillId="0" borderId="0" xfId="0" applyFont="1" applyAlignment="1">
      <alignment horizontal="center"/>
    </xf>
    <xf numFmtId="0" fontId="0" fillId="0" borderId="0" xfId="0" applyAlignment="1">
      <alignment horizontal="center"/>
    </xf>
    <xf numFmtId="0" fontId="16" fillId="0" borderId="0" xfId="0" applyFont="1"/>
    <xf numFmtId="0" fontId="17" fillId="0" borderId="0" xfId="0" applyFont="1"/>
    <xf numFmtId="0" fontId="17" fillId="0" borderId="0" xfId="0" applyFont="1" applyAlignment="1">
      <alignment wrapText="1"/>
    </xf>
    <xf numFmtId="0" fontId="16" fillId="0" borderId="0" xfId="0" applyFont="1" applyAlignment="1">
      <alignment horizontal="center"/>
    </xf>
    <xf numFmtId="0" fontId="18" fillId="0" borderId="0" xfId="0" applyFont="1"/>
    <xf numFmtId="0" fontId="14" fillId="10" borderId="0" xfId="0" applyFont="1" applyFill="1" applyAlignment="1">
      <alignment horizontal="center"/>
    </xf>
    <xf numFmtId="0" fontId="0" fillId="10" borderId="0" xfId="0" applyFill="1"/>
    <xf numFmtId="0" fontId="0" fillId="10" borderId="0" xfId="0" applyFill="1" applyAlignment="1">
      <alignment horizontal="center"/>
    </xf>
    <xf numFmtId="0" fontId="17" fillId="2" borderId="0" xfId="0" applyFont="1" applyFill="1"/>
    <xf numFmtId="0" fontId="0" fillId="0" borderId="0" xfId="0" applyFill="1" applyAlignment="1">
      <alignment wrapText="1"/>
    </xf>
    <xf numFmtId="0" fontId="1" fillId="0" borderId="0" xfId="0" applyFont="1" applyFill="1" applyAlignment="1">
      <alignment wrapText="1"/>
    </xf>
    <xf numFmtId="0" fontId="8" fillId="0" borderId="0" xfId="0" applyFont="1" applyFill="1" applyAlignment="1">
      <alignment wrapText="1"/>
    </xf>
  </cellXfs>
  <cellStyles count="1">
    <cellStyle name="Normal" xfId="0" builtinId="0"/>
  </cellStyles>
  <dxfs count="0"/>
  <tableStyles count="0" defaultTableStyle="TableStyleMedium2" defaultPivotStyle="PivotStyleMedium9"/>
  <colors>
    <mruColors>
      <color rgb="FFFA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ocumenttasks/documenttask1.xml><?xml version="1.0" encoding="utf-8"?>
<Tasks xmlns="http://schemas.microsoft.com/office/tasks/2019/documenttasks">
  <Task id="{64C4B080-F73E-4D07-B394-07B2BC883A64}">
    <Anchor>
      <Comment id="{CF648CCF-ACF2-404C-A800-38BF070376DB}"/>
    </Anchor>
    <History>
      <Event time="2025-07-28T21:38:32.52" id="{6344406B-1E8C-4118-B47F-C932055E529B}">
        <Attribution userId="S::jerrod.smith@ucalgary.ca::14117f3a-cebb-4c62-8abb-3e3eda7e7757" userName="Jerrod Smith" userProvider="AD"/>
        <Anchor>
          <Comment id="{CF648CCF-ACF2-404C-A800-38BF070376DB}"/>
        </Anchor>
        <Create/>
      </Event>
      <Event time="2025-07-28T21:38:32.52" id="{9DF8C052-BAD1-45B8-983D-F603617CD167}">
        <Attribution userId="S::jerrod.smith@ucalgary.ca::14117f3a-cebb-4c62-8abb-3e3eda7e7757" userName="Jerrod Smith" userProvider="AD"/>
        <Anchor>
          <Comment id="{CF648CCF-ACF2-404C-A800-38BF070376DB}"/>
        </Anchor>
        <Assign userId="S::claudia.mahler@ucalgary.ca::87dc99b8-6abd-4324-b74d-2753f7b0b414" userName="Claudia Mahler" userProvider="AD"/>
      </Event>
      <Event time="2025-07-28T21:38:32.52" id="{D9274D8C-BF1C-4820-895B-523D69165E0B}">
        <Attribution userId="S::jerrod.smith@ucalgary.ca::14117f3a-cebb-4c62-8abb-3e3eda7e7757" userName="Jerrod Smith" userProvider="AD"/>
        <Anchor>
          <Comment id="{CF648CCF-ACF2-404C-A800-38BF070376DB}"/>
        </Anchor>
        <SetTitle title="@Claudia Mahler I just added a new question that you might want to consider for CLO 12"/>
      </Event>
    </History>
  </Task>
</Tasks>
</file>

<file path=xl/persons/person.xml><?xml version="1.0" encoding="utf-8"?>
<personList xmlns="http://schemas.microsoft.com/office/spreadsheetml/2018/threadedcomments" xmlns:x="http://schemas.openxmlformats.org/spreadsheetml/2006/main">
  <person displayName="Aiden Taylor" id="{28B9C17D-474D-40F1-8121-44C50007F488}" userId="aiden.taylor1@ucalgary.ca" providerId="PeoplePicker"/>
  <person displayName="Claudia Mahler" id="{6098B99C-D842-4758-B775-83F0A1988FC7}" userId="claudia.mahler@ucalgary.ca" providerId="PeoplePicker"/>
  <person displayName="Jerrod Smith" id="{F3450039-126A-49B1-8833-AFB2EFB258CA}" userId="S::jerrod.smith@ucalgary.ca::14117f3a-cebb-4c62-8abb-3e3eda7e7757" providerId="AD"/>
  <person displayName="Aiden Taylor" id="{90122B22-162C-4B9C-823F-BE62734664D5}" userId="S::aiden.taylor1@ucalgary.ca::e2601812-12f3-4899-9bae-7cd5238ea6ed" providerId="AD"/>
  <person displayName="Claudia Mahler" id="{2185A182-A515-48F4-BB17-2CDF12AB1A86}" userId="S::claudia.mahler@ucalgary.ca::87dc99b8-6abd-4324-b74d-2753f7b0b41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4" dT="2025-02-03T19:09:36.16" personId="{F3450039-126A-49B1-8833-AFB2EFB258CA}" id="{ED72661D-3154-43C1-AD2F-65A548D9A4F4}">
    <text>Could also be used for 8-1-2-U-C</text>
  </threadedComment>
  <threadedComment ref="J11" dT="2025-01-30T20:36:53.16" personId="{F3450039-126A-49B1-8833-AFB2EFB258CA}" id="{B3CBC07C-0006-41A9-8458-0933087FA40D}">
    <text>@Aiden Taylor If you know of an easy way to print the four bullet items in the BEGIN_PGML part of this question, that would be great.</text>
    <mentions>
      <mention mentionpersonId="{28B9C17D-474D-40F1-8121-44C50007F488}" mentionId="{6A6FD8E2-B20B-4F39-8A1C-D975E7B849A2}" startIndex="0" length="13"/>
    </mentions>
  </threadedComment>
  <threadedComment ref="J11" dT="2025-01-31T22:06:52.79" personId="{90122B22-162C-4B9C-823F-BE62734664D5}" id="{4FB21567-7B8F-46BF-BF6D-AC058B4C71A7}" parentId="{B3CBC07C-0006-41A9-8458-0933087FA40D}">
    <text>I believe there is a short-hand way of generating each bullet point for checkbox questions, but I'll look into how to do it for drop down questions as well (or just for general bullet point questions). In the mean-time, I created a copy of your file and created a subroutine to replace your four DropDown objects as an example of how subroutines/functions work (and I think it is giving me the right answers to the question). Regardless, I'll get back to you once I figure out the BEGIN_PGML part.</text>
  </threadedComment>
  <threadedComment ref="J11" dT="2025-01-31T22:30:55.41" personId="{F3450039-126A-49B1-8833-AFB2EFB258CA}" id="{E9867992-C803-43AE-BF9E-3DFEC0978263}" parentId="{B3CBC07C-0006-41A9-8458-0933087FA40D}">
    <text>Great! Thanks!</text>
  </threadedComment>
  <threadedComment ref="I24" dT="2025-02-20T22:30:56.98" personId="{F3450039-126A-49B1-8833-AFB2EFB258CA}" id="{90FF8041-FD95-410A-982D-315C07A47EB1}">
    <text>I manually coded some cases into this problem since I wanted it to be able to handle no solutions, integer solutions, and rarely irrational solutions... there is probably a smarter way to do this by first choosing the discriminant and then breaking up the rest of the coefficients, but I got far enough down this path that I just made it work.</text>
  </threadedComment>
  <threadedComment ref="K149" dT="2025-07-28T21:38:32.68" personId="{F3450039-126A-49B1-8833-AFB2EFB258CA}" id="{CF648CCF-ACF2-404C-A800-38BF070376DB}">
    <text>@Claudia Mahler I just added a new question that you might want to consider for CLO 12</text>
    <mentions>
      <mention mentionpersonId="{6098B99C-D842-4758-B775-83F0A1988FC7}" mentionId="{A33075C0-B051-4F29-B6C3-69AEEA313B5A}" startIndex="0" length="15"/>
    </mentions>
  </threadedComment>
  <threadedComment ref="K149" dT="2025-07-30T18:28:44.10" personId="{2185A182-A515-48F4-BB17-2CDF12AB1A86}" id="{C7875099-6C6C-4975-8D2D-E87708DE9ECB}" parentId="{CF648CCF-ACF2-404C-A800-38BF070376DB}">
    <text>Thanks, Jerrod! I think that might fit in one of the WW question banks for CLO 12</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4"/>
  <sheetViews>
    <sheetView tabSelected="1" zoomScaleNormal="100" workbookViewId="0">
      <pane ySplit="1" topLeftCell="A91" activePane="bottomLeft" state="frozen"/>
      <selection pane="bottomLeft" activeCell="N3" sqref="N3"/>
    </sheetView>
  </sheetViews>
  <sheetFormatPr baseColWidth="10" defaultColWidth="8.83203125" defaultRowHeight="15" customHeight="1"/>
  <cols>
    <col min="1" max="1" width="13" customWidth="1"/>
    <col min="2" max="2" width="7.83203125" style="6" customWidth="1"/>
    <col min="3" max="3" width="17" customWidth="1"/>
    <col min="4" max="4" width="13.5" customWidth="1"/>
    <col min="5" max="5" width="12.5" customWidth="1"/>
    <col min="6" max="6" width="67.5" style="8" customWidth="1"/>
    <col min="7" max="7" width="42.6640625" style="8" customWidth="1"/>
    <col min="8" max="8" width="7.83203125" style="6" customWidth="1"/>
    <col min="9" max="9" width="29.1640625" style="8" customWidth="1"/>
    <col min="10" max="10" width="26.33203125" style="8" customWidth="1"/>
    <col min="11" max="11" width="27.5" style="8" customWidth="1"/>
    <col min="12" max="12" width="30.5" customWidth="1"/>
  </cols>
  <sheetData>
    <row r="1" spans="1:12" ht="112">
      <c r="A1" s="1" t="s">
        <v>0</v>
      </c>
      <c r="B1" s="4" t="s">
        <v>1</v>
      </c>
      <c r="C1" s="1" t="s">
        <v>2</v>
      </c>
      <c r="D1" s="1" t="s">
        <v>3</v>
      </c>
      <c r="E1" s="1" t="s">
        <v>4</v>
      </c>
      <c r="F1" s="1" t="s">
        <v>5</v>
      </c>
      <c r="G1" s="1" t="s">
        <v>6</v>
      </c>
      <c r="H1" s="4" t="s">
        <v>7</v>
      </c>
      <c r="I1" s="1" t="s">
        <v>8</v>
      </c>
      <c r="J1" s="1" t="s">
        <v>9</v>
      </c>
      <c r="K1" s="1" t="s">
        <v>10</v>
      </c>
      <c r="L1" s="18" t="s">
        <v>11</v>
      </c>
    </row>
    <row r="2" spans="1:12" ht="32">
      <c r="A2" s="2" t="str">
        <f>_xlfn.CONCAT(B2,"-",D2)</f>
        <v>1-0-0-C</v>
      </c>
      <c r="B2" s="5" t="s">
        <v>12</v>
      </c>
      <c r="C2" s="3"/>
      <c r="D2" s="2" t="s">
        <v>13</v>
      </c>
      <c r="E2" s="2"/>
      <c r="F2" s="7" t="s">
        <v>14</v>
      </c>
      <c r="G2" s="7" t="s">
        <v>15</v>
      </c>
      <c r="I2" s="1" t="s">
        <v>16</v>
      </c>
      <c r="J2" s="8">
        <f>COUNTA(I3:K20)</f>
        <v>19</v>
      </c>
    </row>
    <row r="3" spans="1:12" ht="16">
      <c r="A3" t="str">
        <f t="shared" ref="A3:A20" si="0">_xlfn.CONCAT(B3,"-",C3,"-",D3)</f>
        <v>1-7-0-C-A</v>
      </c>
      <c r="B3" s="6" t="s">
        <v>17</v>
      </c>
      <c r="C3" t="s">
        <v>13</v>
      </c>
      <c r="D3" t="s">
        <v>18</v>
      </c>
      <c r="E3" t="str">
        <f>IF(C3="R",1,IF(C3="U",2, IF(C3="Ap",3, IF(C3="An",4, IF(C3="E",4,"N/A")))))</f>
        <v>N/A</v>
      </c>
      <c r="F3" s="8" t="s">
        <v>19</v>
      </c>
      <c r="H3" s="6" t="s">
        <v>20</v>
      </c>
    </row>
    <row r="4" spans="1:12" ht="64">
      <c r="A4" t="str">
        <f t="shared" si="0"/>
        <v>1-1-0-An-C</v>
      </c>
      <c r="B4" s="6" t="s">
        <v>21</v>
      </c>
      <c r="C4" t="s">
        <v>22</v>
      </c>
      <c r="D4" t="s">
        <v>13</v>
      </c>
      <c r="E4">
        <f>IF(C4="R",1,IF(C4="U",2, IF(C4="Ap",3, IF(C4="An",4, IF(C4="E",4,"N/A")))))</f>
        <v>4</v>
      </c>
      <c r="F4" s="8" t="s">
        <v>23</v>
      </c>
      <c r="H4" s="6" t="s">
        <v>24</v>
      </c>
      <c r="I4" s="8" t="s">
        <v>25</v>
      </c>
      <c r="J4" s="11" t="s">
        <v>26</v>
      </c>
      <c r="K4" s="8" t="s">
        <v>27</v>
      </c>
    </row>
    <row r="5" spans="1:12" ht="64">
      <c r="A5" t="str">
        <f t="shared" si="0"/>
        <v>1-2-0-An-C</v>
      </c>
      <c r="B5" s="6" t="s">
        <v>28</v>
      </c>
      <c r="C5" t="s">
        <v>22</v>
      </c>
      <c r="D5" t="s">
        <v>13</v>
      </c>
      <c r="E5">
        <f>IF(C5="R",1,IF(C5="U",2, IF(C5="Ap",3, IF(C5="An",4, IF(C5="E",4,"N/A")))))</f>
        <v>4</v>
      </c>
      <c r="F5" s="8" t="s">
        <v>29</v>
      </c>
      <c r="H5" s="6" t="s">
        <v>24</v>
      </c>
      <c r="I5" s="8" t="s">
        <v>30</v>
      </c>
      <c r="J5" s="8" t="s">
        <v>31</v>
      </c>
    </row>
    <row r="6" spans="1:12" ht="16">
      <c r="A6" t="str">
        <f t="shared" si="0"/>
        <v>1-3-1-Ap-C</v>
      </c>
      <c r="B6" s="6" t="s">
        <v>32</v>
      </c>
      <c r="C6" t="s">
        <v>33</v>
      </c>
      <c r="D6" t="s">
        <v>13</v>
      </c>
      <c r="E6">
        <f t="shared" ref="E6:E66" si="1">IF(C6="R",1,IF(C6="U",2, IF(C6="Ap",3, IF(C6="An",4, IF(C6="E",4,"N/A")))))</f>
        <v>3</v>
      </c>
      <c r="F6" s="8" t="s">
        <v>34</v>
      </c>
      <c r="G6" s="47"/>
      <c r="I6" s="8" t="s">
        <v>35</v>
      </c>
      <c r="J6" s="8" t="s">
        <v>36</v>
      </c>
    </row>
    <row r="7" spans="1:12" ht="63.75" customHeight="1">
      <c r="A7" t="str">
        <f t="shared" si="0"/>
        <v>1-3-2-Ap-C</v>
      </c>
      <c r="B7" s="6" t="s">
        <v>37</v>
      </c>
      <c r="C7" t="s">
        <v>33</v>
      </c>
      <c r="D7" t="s">
        <v>13</v>
      </c>
      <c r="E7">
        <f t="shared" si="1"/>
        <v>3</v>
      </c>
      <c r="F7" s="8" t="s">
        <v>38</v>
      </c>
      <c r="I7" s="12" t="s">
        <v>39</v>
      </c>
      <c r="J7" s="13" t="s">
        <v>40</v>
      </c>
    </row>
    <row r="8" spans="1:12" ht="33" customHeight="1">
      <c r="A8" t="str">
        <f t="shared" si="0"/>
        <v>1-3-3-Ap-C</v>
      </c>
      <c r="B8" s="6" t="s">
        <v>41</v>
      </c>
      <c r="C8" t="s">
        <v>33</v>
      </c>
      <c r="D8" t="s">
        <v>13</v>
      </c>
      <c r="E8">
        <f t="shared" si="1"/>
        <v>3</v>
      </c>
      <c r="F8" s="8" t="s">
        <v>42</v>
      </c>
      <c r="I8" s="12"/>
      <c r="J8" s="13"/>
    </row>
    <row r="9" spans="1:12" ht="16">
      <c r="A9" t="str">
        <f t="shared" si="0"/>
        <v>1-3-4-Ap-C</v>
      </c>
      <c r="B9" s="6" t="s">
        <v>43</v>
      </c>
      <c r="C9" t="s">
        <v>33</v>
      </c>
      <c r="D9" t="s">
        <v>13</v>
      </c>
      <c r="E9">
        <f t="shared" si="1"/>
        <v>3</v>
      </c>
      <c r="F9" s="8" t="s">
        <v>44</v>
      </c>
      <c r="H9" s="6" t="s">
        <v>20</v>
      </c>
    </row>
    <row r="10" spans="1:12" ht="16">
      <c r="A10" t="str">
        <f t="shared" si="0"/>
        <v>1-3-5-Ap-C</v>
      </c>
      <c r="B10" s="6" t="s">
        <v>45</v>
      </c>
      <c r="C10" t="s">
        <v>33</v>
      </c>
      <c r="D10" t="s">
        <v>13</v>
      </c>
      <c r="E10">
        <f t="shared" si="1"/>
        <v>3</v>
      </c>
      <c r="F10" s="8" t="s">
        <v>46</v>
      </c>
    </row>
    <row r="11" spans="1:12" ht="48">
      <c r="A11" t="str">
        <f t="shared" si="0"/>
        <v>1-4-0-U-C</v>
      </c>
      <c r="B11" s="6" t="s">
        <v>47</v>
      </c>
      <c r="C11" t="s">
        <v>48</v>
      </c>
      <c r="D11" t="s">
        <v>13</v>
      </c>
      <c r="E11">
        <f t="shared" si="1"/>
        <v>2</v>
      </c>
      <c r="F11" s="8" t="s">
        <v>49</v>
      </c>
      <c r="H11" s="6" t="s">
        <v>24</v>
      </c>
      <c r="I11" s="8" t="s">
        <v>50</v>
      </c>
      <c r="J11" s="8" t="s">
        <v>51</v>
      </c>
    </row>
    <row r="12" spans="1:12" ht="64">
      <c r="A12" t="str">
        <f t="shared" si="0"/>
        <v>1-6-0-U-C</v>
      </c>
      <c r="B12" s="6" t="s">
        <v>52</v>
      </c>
      <c r="C12" t="s">
        <v>48</v>
      </c>
      <c r="D12" t="s">
        <v>13</v>
      </c>
      <c r="E12">
        <f t="shared" si="1"/>
        <v>2</v>
      </c>
      <c r="F12" s="8" t="s">
        <v>53</v>
      </c>
      <c r="H12" s="6" t="s">
        <v>24</v>
      </c>
      <c r="I12" s="8" t="s">
        <v>54</v>
      </c>
      <c r="J12" s="8" t="s">
        <v>55</v>
      </c>
    </row>
    <row r="13" spans="1:12" ht="80">
      <c r="A13" t="str">
        <f t="shared" si="0"/>
        <v>1-1-1-U-C</v>
      </c>
      <c r="B13" s="6" t="s">
        <v>56</v>
      </c>
      <c r="C13" t="s">
        <v>48</v>
      </c>
      <c r="D13" t="s">
        <v>13</v>
      </c>
      <c r="E13">
        <f t="shared" si="1"/>
        <v>2</v>
      </c>
      <c r="F13" s="8" t="s">
        <v>57</v>
      </c>
      <c r="H13" s="6" t="s">
        <v>20</v>
      </c>
      <c r="I13" s="8" t="s">
        <v>58</v>
      </c>
      <c r="J13" s="8" t="s">
        <v>59</v>
      </c>
    </row>
    <row r="14" spans="1:12" ht="16">
      <c r="A14" t="str">
        <f t="shared" si="0"/>
        <v>1-10-0-U-C</v>
      </c>
      <c r="B14" s="6" t="s">
        <v>60</v>
      </c>
      <c r="C14" t="s">
        <v>48</v>
      </c>
      <c r="D14" t="s">
        <v>13</v>
      </c>
      <c r="E14">
        <f t="shared" si="1"/>
        <v>2</v>
      </c>
      <c r="F14" s="8" t="s">
        <v>61</v>
      </c>
      <c r="H14" s="6" t="s">
        <v>20</v>
      </c>
    </row>
    <row r="15" spans="1:12" ht="80">
      <c r="A15" t="str">
        <f t="shared" si="0"/>
        <v>1-1-3-U-C</v>
      </c>
      <c r="B15" s="6" t="s">
        <v>62</v>
      </c>
      <c r="C15" t="s">
        <v>48</v>
      </c>
      <c r="D15" t="s">
        <v>13</v>
      </c>
      <c r="E15">
        <f t="shared" si="1"/>
        <v>2</v>
      </c>
      <c r="F15" s="8" t="s">
        <v>63</v>
      </c>
      <c r="G15" s="8" t="s">
        <v>64</v>
      </c>
      <c r="H15" s="6" t="s">
        <v>20</v>
      </c>
      <c r="I15" s="8" t="s">
        <v>65</v>
      </c>
      <c r="J15" s="8" t="s">
        <v>66</v>
      </c>
    </row>
    <row r="16" spans="1:12" ht="64">
      <c r="A16" t="str">
        <f t="shared" si="0"/>
        <v>1-1-4-U-C</v>
      </c>
      <c r="B16" s="6" t="s">
        <v>67</v>
      </c>
      <c r="C16" t="s">
        <v>48</v>
      </c>
      <c r="D16" t="s">
        <v>13</v>
      </c>
      <c r="E16">
        <f t="shared" si="1"/>
        <v>2</v>
      </c>
      <c r="F16" s="8" t="s">
        <v>68</v>
      </c>
      <c r="G16" s="8" t="s">
        <v>69</v>
      </c>
      <c r="H16" s="6" t="s">
        <v>20</v>
      </c>
      <c r="I16" s="8" t="s">
        <v>70</v>
      </c>
      <c r="J16" s="8" t="s">
        <v>71</v>
      </c>
    </row>
    <row r="17" spans="1:12" ht="16">
      <c r="A17" t="str">
        <f t="shared" si="0"/>
        <v>1-5-0-E-I</v>
      </c>
      <c r="B17" s="6" t="s">
        <v>72</v>
      </c>
      <c r="C17" t="s">
        <v>73</v>
      </c>
      <c r="D17" t="s">
        <v>74</v>
      </c>
      <c r="E17">
        <f t="shared" si="1"/>
        <v>4</v>
      </c>
      <c r="F17" s="8" t="s">
        <v>75</v>
      </c>
    </row>
    <row r="18" spans="1:12" ht="16">
      <c r="A18" t="str">
        <f t="shared" si="0"/>
        <v>1-2-1-E-I</v>
      </c>
      <c r="B18" s="6" t="s">
        <v>76</v>
      </c>
      <c r="C18" t="s">
        <v>73</v>
      </c>
      <c r="D18" t="s">
        <v>74</v>
      </c>
      <c r="E18">
        <f t="shared" si="1"/>
        <v>4</v>
      </c>
      <c r="F18" s="8" t="s">
        <v>77</v>
      </c>
      <c r="H18" s="6" t="s">
        <v>24</v>
      </c>
    </row>
    <row r="19" spans="1:12" ht="16">
      <c r="A19" t="str">
        <f>_xlfn.CONCAT(B19,"-",C19,"-",D19)</f>
        <v>1-2-2-An-I</v>
      </c>
      <c r="B19" s="6" t="s">
        <v>78</v>
      </c>
      <c r="C19" t="s">
        <v>22</v>
      </c>
      <c r="D19" t="s">
        <v>74</v>
      </c>
      <c r="E19">
        <f t="shared" si="1"/>
        <v>4</v>
      </c>
      <c r="F19" s="8" t="s">
        <v>79</v>
      </c>
      <c r="H19" s="6" t="s">
        <v>24</v>
      </c>
    </row>
    <row r="20" spans="1:12" ht="32">
      <c r="A20" t="str">
        <f t="shared" si="0"/>
        <v>1-8-0-C-I</v>
      </c>
      <c r="B20" s="6" t="s">
        <v>80</v>
      </c>
      <c r="C20" t="s">
        <v>13</v>
      </c>
      <c r="D20" t="s">
        <v>74</v>
      </c>
      <c r="E20" t="str">
        <f t="shared" si="1"/>
        <v>N/A</v>
      </c>
      <c r="F20" s="8" t="s">
        <v>81</v>
      </c>
    </row>
    <row r="21" spans="1:12" ht="48">
      <c r="A21" s="2" t="str">
        <f>_xlfn.CONCAT(B21,"-",D21)</f>
        <v>2-0-0-C</v>
      </c>
      <c r="B21" s="5" t="s">
        <v>82</v>
      </c>
      <c r="C21" s="2"/>
      <c r="D21" s="2" t="s">
        <v>13</v>
      </c>
      <c r="F21" s="7" t="s">
        <v>83</v>
      </c>
      <c r="G21" s="7" t="s">
        <v>84</v>
      </c>
      <c r="I21" s="1" t="s">
        <v>85</v>
      </c>
      <c r="J21" s="1">
        <f>COUNTA(I22:L28)</f>
        <v>17</v>
      </c>
      <c r="K21" s="15" t="s">
        <v>86</v>
      </c>
    </row>
    <row r="22" spans="1:12" ht="81.75" customHeight="1">
      <c r="A22" t="str">
        <f t="shared" ref="A22:A28" si="2">_xlfn.CONCAT(B22,"-",C22,"-",D22)</f>
        <v>2-1-0-Ap-C</v>
      </c>
      <c r="B22" s="6" t="s">
        <v>87</v>
      </c>
      <c r="C22" t="s">
        <v>33</v>
      </c>
      <c r="D22" t="s">
        <v>13</v>
      </c>
      <c r="E22">
        <f t="shared" si="1"/>
        <v>3</v>
      </c>
      <c r="F22" s="8" t="s">
        <v>88</v>
      </c>
      <c r="I22" s="8" t="s">
        <v>89</v>
      </c>
      <c r="J22" s="8" t="s">
        <v>90</v>
      </c>
      <c r="K22" s="8" t="s">
        <v>91</v>
      </c>
      <c r="L22" s="8" t="s">
        <v>92</v>
      </c>
    </row>
    <row r="23" spans="1:12" ht="48">
      <c r="A23" t="str">
        <f t="shared" si="2"/>
        <v>2-2-0-Ap-C</v>
      </c>
      <c r="B23" s="6" t="s">
        <v>93</v>
      </c>
      <c r="C23" t="s">
        <v>33</v>
      </c>
      <c r="D23" t="s">
        <v>13</v>
      </c>
      <c r="E23">
        <f t="shared" si="1"/>
        <v>3</v>
      </c>
      <c r="F23" s="8" t="s">
        <v>94</v>
      </c>
      <c r="I23" s="8" t="s">
        <v>95</v>
      </c>
      <c r="J23" s="8" t="s">
        <v>96</v>
      </c>
    </row>
    <row r="24" spans="1:12" ht="96">
      <c r="A24" t="str">
        <f t="shared" si="2"/>
        <v>2-2-1-Ap-C</v>
      </c>
      <c r="B24" s="6" t="s">
        <v>97</v>
      </c>
      <c r="C24" t="s">
        <v>33</v>
      </c>
      <c r="D24" t="s">
        <v>13</v>
      </c>
      <c r="E24">
        <f t="shared" si="1"/>
        <v>3</v>
      </c>
      <c r="F24" s="8" t="s">
        <v>98</v>
      </c>
      <c r="I24" s="13" t="s">
        <v>99</v>
      </c>
      <c r="J24" s="8" t="s">
        <v>100</v>
      </c>
      <c r="K24" s="8" t="s">
        <v>101</v>
      </c>
    </row>
    <row r="25" spans="1:12" ht="64">
      <c r="A25" t="str">
        <f t="shared" si="2"/>
        <v>2-2-2-Ap-C</v>
      </c>
      <c r="B25" s="6" t="s">
        <v>102</v>
      </c>
      <c r="C25" t="s">
        <v>33</v>
      </c>
      <c r="D25" t="s">
        <v>13</v>
      </c>
      <c r="E25">
        <f t="shared" si="1"/>
        <v>3</v>
      </c>
      <c r="F25" s="8" t="s">
        <v>103</v>
      </c>
      <c r="I25" s="8" t="s">
        <v>104</v>
      </c>
      <c r="J25" s="8" t="s">
        <v>105</v>
      </c>
      <c r="K25" s="8" t="s">
        <v>106</v>
      </c>
    </row>
    <row r="26" spans="1:12" ht="64">
      <c r="A26" t="str">
        <f t="shared" si="2"/>
        <v>2-2-3-Ap-C</v>
      </c>
      <c r="B26" s="6" t="s">
        <v>107</v>
      </c>
      <c r="C26" t="s">
        <v>33</v>
      </c>
      <c r="D26" t="s">
        <v>13</v>
      </c>
      <c r="E26">
        <f t="shared" si="1"/>
        <v>3</v>
      </c>
      <c r="F26" s="8" t="s">
        <v>108</v>
      </c>
      <c r="I26" s="8" t="s">
        <v>109</v>
      </c>
      <c r="J26" s="8" t="s">
        <v>110</v>
      </c>
      <c r="K26" s="8" t="s">
        <v>111</v>
      </c>
    </row>
    <row r="27" spans="1:12" ht="96">
      <c r="A27" t="str">
        <f t="shared" si="2"/>
        <v>2-3-0-An-C</v>
      </c>
      <c r="B27" s="6" t="s">
        <v>112</v>
      </c>
      <c r="C27" t="s">
        <v>22</v>
      </c>
      <c r="D27" t="s">
        <v>13</v>
      </c>
      <c r="E27">
        <f t="shared" si="1"/>
        <v>4</v>
      </c>
      <c r="F27" s="8" t="s">
        <v>113</v>
      </c>
      <c r="I27" s="8" t="s">
        <v>114</v>
      </c>
      <c r="J27" s="8" t="s">
        <v>115</v>
      </c>
    </row>
    <row r="28" spans="1:12" ht="16">
      <c r="A28" t="str">
        <f t="shared" si="2"/>
        <v>2-3-1-U-C</v>
      </c>
      <c r="B28" s="6" t="s">
        <v>116</v>
      </c>
      <c r="C28" t="s">
        <v>48</v>
      </c>
      <c r="D28" t="s">
        <v>13</v>
      </c>
      <c r="E28">
        <f t="shared" si="1"/>
        <v>2</v>
      </c>
      <c r="F28" s="8" t="s">
        <v>117</v>
      </c>
    </row>
    <row r="29" spans="1:12" ht="32">
      <c r="A29" s="2" t="str">
        <f>_xlfn.CONCAT(B29,"-",D29)</f>
        <v>3-0-0-C</v>
      </c>
      <c r="B29" s="5" t="s">
        <v>118</v>
      </c>
      <c r="C29" s="2"/>
      <c r="D29" s="2" t="s">
        <v>13</v>
      </c>
      <c r="F29" s="7" t="s">
        <v>119</v>
      </c>
      <c r="G29" s="7" t="s">
        <v>120</v>
      </c>
      <c r="I29" s="1" t="s">
        <v>121</v>
      </c>
      <c r="J29" s="1">
        <f>COUNTA(I30:L37)-3</f>
        <v>10</v>
      </c>
    </row>
    <row r="30" spans="1:12" ht="16">
      <c r="A30" t="str">
        <f t="shared" ref="A30:A37" si="3">_xlfn.CONCAT(B30,"-",C30,"-",D30)</f>
        <v>3-3-0-C-A</v>
      </c>
      <c r="B30" s="6" t="s">
        <v>122</v>
      </c>
      <c r="C30" t="s">
        <v>13</v>
      </c>
      <c r="D30" t="s">
        <v>18</v>
      </c>
      <c r="E30" t="str">
        <f t="shared" si="1"/>
        <v>N/A</v>
      </c>
      <c r="F30" s="8" t="s">
        <v>123</v>
      </c>
    </row>
    <row r="31" spans="1:12" ht="135" customHeight="1">
      <c r="A31" t="str">
        <f t="shared" si="3"/>
        <v>3-1-0-Ap-I</v>
      </c>
      <c r="B31" s="6" t="s">
        <v>124</v>
      </c>
      <c r="C31" t="s">
        <v>33</v>
      </c>
      <c r="D31" t="s">
        <v>74</v>
      </c>
      <c r="E31">
        <v>5</v>
      </c>
      <c r="F31" s="8" t="s">
        <v>125</v>
      </c>
      <c r="I31" s="8" t="s">
        <v>126</v>
      </c>
      <c r="J31" s="8" t="s">
        <v>127</v>
      </c>
    </row>
    <row r="32" spans="1:12" ht="16">
      <c r="A32" t="str">
        <f t="shared" si="3"/>
        <v>3-2-0-E-I</v>
      </c>
      <c r="B32" s="6" t="s">
        <v>128</v>
      </c>
      <c r="C32" t="s">
        <v>73</v>
      </c>
      <c r="D32" t="s">
        <v>74</v>
      </c>
      <c r="E32" s="17" t="s">
        <v>129</v>
      </c>
      <c r="F32" s="8" t="s">
        <v>130</v>
      </c>
      <c r="G32" s="16" t="s">
        <v>131</v>
      </c>
    </row>
    <row r="33" spans="1:12" ht="80">
      <c r="A33" t="str">
        <f t="shared" si="3"/>
        <v>3-4-0-E-I</v>
      </c>
      <c r="B33" s="6" t="s">
        <v>132</v>
      </c>
      <c r="C33" t="s">
        <v>73</v>
      </c>
      <c r="D33" t="s">
        <v>74</v>
      </c>
      <c r="E33">
        <f t="shared" si="1"/>
        <v>4</v>
      </c>
      <c r="F33" s="8" t="s">
        <v>133</v>
      </c>
      <c r="G33" s="8" t="s">
        <v>134</v>
      </c>
      <c r="I33" s="8" t="s">
        <v>135</v>
      </c>
      <c r="J33" s="8" t="s">
        <v>136</v>
      </c>
    </row>
    <row r="34" spans="1:12" ht="122.25" customHeight="1">
      <c r="A34" t="str">
        <f t="shared" si="3"/>
        <v>3-5-1-Ap-I</v>
      </c>
      <c r="B34" s="6" t="s">
        <v>137</v>
      </c>
      <c r="C34" t="s">
        <v>33</v>
      </c>
      <c r="D34" t="s">
        <v>74</v>
      </c>
      <c r="E34">
        <f t="shared" si="1"/>
        <v>3</v>
      </c>
      <c r="F34" s="8" t="s">
        <v>138</v>
      </c>
      <c r="G34" s="20" t="s">
        <v>139</v>
      </c>
      <c r="I34" s="8" t="s">
        <v>140</v>
      </c>
      <c r="J34" s="8" t="s">
        <v>141</v>
      </c>
      <c r="K34" s="8" t="s">
        <v>142</v>
      </c>
    </row>
    <row r="35" spans="1:12" ht="32">
      <c r="A35" t="str">
        <f t="shared" si="3"/>
        <v>3-5-2-Ap-I</v>
      </c>
      <c r="B35" s="6" t="s">
        <v>143</v>
      </c>
      <c r="C35" t="s">
        <v>33</v>
      </c>
      <c r="D35" t="s">
        <v>74</v>
      </c>
      <c r="E35">
        <v>5</v>
      </c>
      <c r="F35" s="8" t="s">
        <v>144</v>
      </c>
      <c r="G35" s="8" t="s">
        <v>145</v>
      </c>
    </row>
    <row r="36" spans="1:12" ht="90.75" customHeight="1">
      <c r="A36" t="str">
        <f t="shared" si="3"/>
        <v>3-6-0-Ap-I</v>
      </c>
      <c r="B36" s="6" t="s">
        <v>146</v>
      </c>
      <c r="C36" t="s">
        <v>33</v>
      </c>
      <c r="D36" t="s">
        <v>74</v>
      </c>
      <c r="E36">
        <f t="shared" si="1"/>
        <v>3</v>
      </c>
      <c r="F36" s="8" t="s">
        <v>147</v>
      </c>
      <c r="I36" s="8" t="s">
        <v>148</v>
      </c>
      <c r="J36" s="8" t="s">
        <v>149</v>
      </c>
    </row>
    <row r="37" spans="1:12" ht="64">
      <c r="A37" t="str">
        <f t="shared" si="3"/>
        <v>3-7-0-Ap-I</v>
      </c>
      <c r="B37" s="6" t="s">
        <v>150</v>
      </c>
      <c r="C37" t="s">
        <v>33</v>
      </c>
      <c r="D37" t="s">
        <v>74</v>
      </c>
      <c r="E37">
        <f t="shared" si="1"/>
        <v>3</v>
      </c>
      <c r="F37" s="8" t="s">
        <v>151</v>
      </c>
      <c r="I37" s="8" t="s">
        <v>152</v>
      </c>
      <c r="J37" s="8" t="s">
        <v>153</v>
      </c>
      <c r="K37" s="19" t="s">
        <v>154</v>
      </c>
      <c r="L37" s="19" t="s">
        <v>155</v>
      </c>
    </row>
    <row r="38" spans="1:12" ht="32">
      <c r="A38" s="2" t="str">
        <f>_xlfn.CONCAT(B38,"-",D38)</f>
        <v>4-0-0-I</v>
      </c>
      <c r="B38" s="5" t="s">
        <v>156</v>
      </c>
      <c r="C38" s="2"/>
      <c r="D38" s="2" t="s">
        <v>74</v>
      </c>
      <c r="F38" s="7" t="s">
        <v>157</v>
      </c>
      <c r="G38" s="7" t="s">
        <v>158</v>
      </c>
      <c r="I38" s="1" t="s">
        <v>159</v>
      </c>
      <c r="J38" s="8">
        <f>COUNTA(I39:L48)</f>
        <v>21</v>
      </c>
    </row>
    <row r="39" spans="1:12" ht="80">
      <c r="A39" t="str">
        <f t="shared" ref="A39:A48" si="4">_xlfn.CONCAT(B39,"-",C39,"-",D39)</f>
        <v>4-1-1-Ap-C</v>
      </c>
      <c r="B39" s="6" t="s">
        <v>160</v>
      </c>
      <c r="C39" t="s">
        <v>33</v>
      </c>
      <c r="D39" t="s">
        <v>13</v>
      </c>
      <c r="E39">
        <f t="shared" si="1"/>
        <v>3</v>
      </c>
      <c r="F39" s="8" t="s">
        <v>161</v>
      </c>
      <c r="I39" s="8" t="s">
        <v>162</v>
      </c>
      <c r="J39" s="8" t="s">
        <v>163</v>
      </c>
      <c r="K39" s="8" t="s">
        <v>164</v>
      </c>
    </row>
    <row r="40" spans="1:12" ht="32">
      <c r="A40" t="str">
        <f>_xlfn.CONCAT(B40,"-",C40,"-",D40)</f>
        <v>4-2-1-Ap-C</v>
      </c>
      <c r="B40" s="6" t="s">
        <v>165</v>
      </c>
      <c r="C40" t="s">
        <v>33</v>
      </c>
      <c r="D40" t="s">
        <v>13</v>
      </c>
      <c r="E40">
        <f t="shared" si="1"/>
        <v>3</v>
      </c>
      <c r="F40" s="8" t="s">
        <v>166</v>
      </c>
      <c r="G40" s="47"/>
      <c r="I40" s="8" t="s">
        <v>167</v>
      </c>
    </row>
    <row r="41" spans="1:12" ht="32">
      <c r="A41" t="str">
        <f t="shared" si="4"/>
        <v>4-2-2-Ap-I</v>
      </c>
      <c r="B41" s="6" t="s">
        <v>168</v>
      </c>
      <c r="C41" t="s">
        <v>33</v>
      </c>
      <c r="D41" t="s">
        <v>74</v>
      </c>
      <c r="E41">
        <f t="shared" si="1"/>
        <v>3</v>
      </c>
      <c r="F41" s="8" t="s">
        <v>169</v>
      </c>
      <c r="G41" s="47"/>
      <c r="I41" s="8" t="s">
        <v>170</v>
      </c>
    </row>
    <row r="42" spans="1:12" ht="32">
      <c r="A42" t="str">
        <f t="shared" si="4"/>
        <v>4-2-3-Ap-I</v>
      </c>
      <c r="B42" s="6" t="s">
        <v>171</v>
      </c>
      <c r="C42" t="s">
        <v>33</v>
      </c>
      <c r="D42" t="s">
        <v>74</v>
      </c>
      <c r="E42">
        <f t="shared" si="1"/>
        <v>3</v>
      </c>
      <c r="F42" s="8" t="s">
        <v>172</v>
      </c>
      <c r="G42" s="47"/>
      <c r="I42" s="8" t="s">
        <v>173</v>
      </c>
    </row>
    <row r="43" spans="1:12" ht="96">
      <c r="A43" t="str">
        <f t="shared" si="4"/>
        <v>4-1-2-E-I</v>
      </c>
      <c r="B43" s="6" t="s">
        <v>174</v>
      </c>
      <c r="C43" t="s">
        <v>73</v>
      </c>
      <c r="D43" t="s">
        <v>74</v>
      </c>
      <c r="E43">
        <f t="shared" si="1"/>
        <v>4</v>
      </c>
      <c r="F43" s="8" t="s">
        <v>175</v>
      </c>
      <c r="G43" s="8" t="s">
        <v>176</v>
      </c>
      <c r="I43" s="8" t="s">
        <v>177</v>
      </c>
      <c r="J43" s="8" t="s">
        <v>178</v>
      </c>
      <c r="K43" s="8" t="s">
        <v>179</v>
      </c>
    </row>
    <row r="44" spans="1:12" ht="96">
      <c r="A44" t="str">
        <f t="shared" si="4"/>
        <v>4-3-1-Ap-I</v>
      </c>
      <c r="B44" s="6" t="s">
        <v>180</v>
      </c>
      <c r="C44" t="s">
        <v>33</v>
      </c>
      <c r="D44" t="s">
        <v>74</v>
      </c>
      <c r="E44">
        <f t="shared" si="1"/>
        <v>3</v>
      </c>
      <c r="F44" s="8" t="s">
        <v>181</v>
      </c>
      <c r="G44" s="8" t="s">
        <v>182</v>
      </c>
      <c r="I44" s="8" t="s">
        <v>183</v>
      </c>
      <c r="J44" s="8" t="s">
        <v>184</v>
      </c>
      <c r="K44" s="8" t="s">
        <v>185</v>
      </c>
      <c r="L44" s="8" t="s">
        <v>186</v>
      </c>
    </row>
    <row r="45" spans="1:12" ht="96">
      <c r="A45" t="str">
        <f t="shared" si="4"/>
        <v>4-3-2-Ap-I</v>
      </c>
      <c r="B45" s="6" t="s">
        <v>187</v>
      </c>
      <c r="C45" t="s">
        <v>33</v>
      </c>
      <c r="D45" t="s">
        <v>74</v>
      </c>
      <c r="E45">
        <f t="shared" si="1"/>
        <v>3</v>
      </c>
      <c r="F45" s="8" t="s">
        <v>188</v>
      </c>
      <c r="G45" s="8" t="s">
        <v>182</v>
      </c>
      <c r="I45" s="8" t="s">
        <v>189</v>
      </c>
      <c r="J45" s="8" t="s">
        <v>190</v>
      </c>
      <c r="K45" s="8" t="s">
        <v>191</v>
      </c>
    </row>
    <row r="46" spans="1:12" ht="139.5" customHeight="1">
      <c r="A46" t="str">
        <f t="shared" si="4"/>
        <v>4-3-3-Ap-I</v>
      </c>
      <c r="B46" s="6" t="s">
        <v>192</v>
      </c>
      <c r="C46" t="s">
        <v>33</v>
      </c>
      <c r="D46" t="s">
        <v>74</v>
      </c>
      <c r="E46">
        <f t="shared" si="1"/>
        <v>3</v>
      </c>
      <c r="F46" s="8" t="s">
        <v>193</v>
      </c>
      <c r="I46" s="8" t="s">
        <v>194</v>
      </c>
      <c r="J46" s="8" t="s">
        <v>195</v>
      </c>
    </row>
    <row r="47" spans="1:12" ht="112">
      <c r="A47" t="str">
        <f t="shared" si="4"/>
        <v>4-4-0-Ap-C</v>
      </c>
      <c r="B47" s="6" t="s">
        <v>196</v>
      </c>
      <c r="C47" t="s">
        <v>33</v>
      </c>
      <c r="D47" t="s">
        <v>13</v>
      </c>
      <c r="E47">
        <f t="shared" si="1"/>
        <v>3</v>
      </c>
      <c r="F47" s="8" t="s">
        <v>197</v>
      </c>
      <c r="I47" s="8" t="s">
        <v>198</v>
      </c>
      <c r="J47" s="8" t="s">
        <v>199</v>
      </c>
      <c r="K47" s="8" t="s">
        <v>200</v>
      </c>
    </row>
    <row r="48" spans="1:12" ht="48">
      <c r="A48" t="str">
        <f t="shared" si="4"/>
        <v>4-4-1-E-I</v>
      </c>
      <c r="B48" s="6" t="s">
        <v>201</v>
      </c>
      <c r="C48" t="s">
        <v>73</v>
      </c>
      <c r="D48" t="s">
        <v>74</v>
      </c>
      <c r="E48">
        <f t="shared" si="1"/>
        <v>4</v>
      </c>
      <c r="F48" s="8" t="s">
        <v>202</v>
      </c>
    </row>
    <row r="49" spans="1:12" ht="32">
      <c r="A49" s="2" t="str">
        <f>_xlfn.CONCAT(B49,"-",D49)</f>
        <v>5-0-0-C</v>
      </c>
      <c r="B49" s="5" t="s">
        <v>203</v>
      </c>
      <c r="C49" s="2"/>
      <c r="D49" s="2" t="s">
        <v>13</v>
      </c>
      <c r="F49" s="7" t="s">
        <v>204</v>
      </c>
      <c r="G49" s="7" t="s">
        <v>205</v>
      </c>
      <c r="I49" s="1" t="s">
        <v>206</v>
      </c>
      <c r="J49" s="8">
        <f>COUNTA(I50:L71)-1</f>
        <v>42</v>
      </c>
    </row>
    <row r="50" spans="1:12" ht="32">
      <c r="A50" t="str">
        <f t="shared" ref="A50:A71" si="5">_xlfn.CONCAT(B50,"-",C50,"-",D50)</f>
        <v>5-6-3-An-A</v>
      </c>
      <c r="B50" s="6" t="s">
        <v>207</v>
      </c>
      <c r="C50" t="s">
        <v>22</v>
      </c>
      <c r="D50" t="s">
        <v>18</v>
      </c>
      <c r="E50">
        <f t="shared" si="1"/>
        <v>4</v>
      </c>
      <c r="F50" s="8" t="s">
        <v>208</v>
      </c>
    </row>
    <row r="51" spans="1:12" ht="64">
      <c r="A51" t="str">
        <f t="shared" si="5"/>
        <v>5-1-1-R-C</v>
      </c>
      <c r="B51" s="6" t="s">
        <v>209</v>
      </c>
      <c r="C51" t="s">
        <v>210</v>
      </c>
      <c r="D51" t="s">
        <v>13</v>
      </c>
      <c r="E51">
        <f t="shared" si="1"/>
        <v>1</v>
      </c>
      <c r="F51" s="8" t="s">
        <v>211</v>
      </c>
      <c r="G51" s="8" t="s">
        <v>212</v>
      </c>
      <c r="I51" s="8" t="s">
        <v>213</v>
      </c>
      <c r="J51" s="8" t="s">
        <v>214</v>
      </c>
      <c r="K51" s="8" t="s">
        <v>215</v>
      </c>
      <c r="L51" s="8" t="s">
        <v>216</v>
      </c>
    </row>
    <row r="52" spans="1:12" ht="137.25" customHeight="1">
      <c r="A52" t="str">
        <f t="shared" si="5"/>
        <v>5-2-1-An-C</v>
      </c>
      <c r="B52" s="6" t="s">
        <v>217</v>
      </c>
      <c r="C52" t="s">
        <v>22</v>
      </c>
      <c r="D52" t="s">
        <v>13</v>
      </c>
      <c r="E52">
        <f t="shared" si="1"/>
        <v>4</v>
      </c>
      <c r="F52" s="8" t="s">
        <v>218</v>
      </c>
      <c r="I52" s="12" t="s">
        <v>219</v>
      </c>
      <c r="J52" s="12" t="s">
        <v>220</v>
      </c>
      <c r="K52" s="12" t="s">
        <v>221</v>
      </c>
    </row>
    <row r="53" spans="1:12" ht="91.5" customHeight="1">
      <c r="A53" t="str">
        <f t="shared" si="5"/>
        <v>5-2-2-An-C</v>
      </c>
      <c r="B53" s="6" t="s">
        <v>222</v>
      </c>
      <c r="C53" t="s">
        <v>22</v>
      </c>
      <c r="D53" t="s">
        <v>13</v>
      </c>
      <c r="E53">
        <f t="shared" si="1"/>
        <v>4</v>
      </c>
      <c r="F53" s="8" t="s">
        <v>223</v>
      </c>
      <c r="I53" s="8" t="s">
        <v>224</v>
      </c>
      <c r="J53" s="8" t="s">
        <v>225</v>
      </c>
      <c r="K53" s="8" t="s">
        <v>226</v>
      </c>
    </row>
    <row r="54" spans="1:12" ht="96">
      <c r="A54" t="str">
        <f t="shared" si="5"/>
        <v>5-2-3-An-C</v>
      </c>
      <c r="B54" s="6" t="s">
        <v>227</v>
      </c>
      <c r="C54" t="s">
        <v>22</v>
      </c>
      <c r="D54" t="s">
        <v>13</v>
      </c>
      <c r="E54">
        <f t="shared" si="1"/>
        <v>4</v>
      </c>
      <c r="F54" s="8" t="s">
        <v>228</v>
      </c>
      <c r="I54" s="8" t="s">
        <v>229</v>
      </c>
      <c r="J54" s="8" t="s">
        <v>230</v>
      </c>
      <c r="K54" s="8" t="s">
        <v>231</v>
      </c>
    </row>
    <row r="55" spans="1:12" ht="48">
      <c r="A55" t="str">
        <f t="shared" si="5"/>
        <v>5-3-1-U-C</v>
      </c>
      <c r="B55" s="6" t="s">
        <v>232</v>
      </c>
      <c r="C55" t="s">
        <v>48</v>
      </c>
      <c r="D55" t="s">
        <v>13</v>
      </c>
      <c r="E55">
        <f t="shared" si="1"/>
        <v>2</v>
      </c>
      <c r="F55" s="8" t="s">
        <v>233</v>
      </c>
      <c r="G55" s="13" t="s">
        <v>234</v>
      </c>
      <c r="I55" s="8" t="s">
        <v>235</v>
      </c>
      <c r="J55" s="8" t="s">
        <v>236</v>
      </c>
    </row>
    <row r="56" spans="1:12" ht="98.25" customHeight="1">
      <c r="A56" t="str">
        <f t="shared" si="5"/>
        <v>5-3-2-Ap-C</v>
      </c>
      <c r="B56" s="6" t="s">
        <v>237</v>
      </c>
      <c r="C56" t="s">
        <v>33</v>
      </c>
      <c r="D56" t="s">
        <v>13</v>
      </c>
      <c r="E56">
        <f t="shared" si="1"/>
        <v>3</v>
      </c>
      <c r="F56" s="8" t="s">
        <v>238</v>
      </c>
      <c r="G56" s="13" t="s">
        <v>234</v>
      </c>
      <c r="I56" s="21" t="s">
        <v>239</v>
      </c>
      <c r="J56" s="8" t="s">
        <v>240</v>
      </c>
      <c r="K56" s="22" t="s">
        <v>241</v>
      </c>
    </row>
    <row r="57" spans="1:12" ht="32">
      <c r="A57" t="str">
        <f t="shared" si="5"/>
        <v>5-3-5-E-I</v>
      </c>
      <c r="B57" s="6" t="s">
        <v>242</v>
      </c>
      <c r="C57" t="s">
        <v>73</v>
      </c>
      <c r="D57" t="s">
        <v>74</v>
      </c>
      <c r="E57">
        <f t="shared" si="1"/>
        <v>4</v>
      </c>
      <c r="F57" s="8" t="s">
        <v>243</v>
      </c>
      <c r="G57" s="13" t="s">
        <v>234</v>
      </c>
    </row>
    <row r="58" spans="1:12" ht="103.5" customHeight="1">
      <c r="A58" t="str">
        <f t="shared" si="5"/>
        <v>5-4-1-U-C</v>
      </c>
      <c r="B58" s="6" t="s">
        <v>244</v>
      </c>
      <c r="C58" t="s">
        <v>48</v>
      </c>
      <c r="D58" t="s">
        <v>13</v>
      </c>
      <c r="E58">
        <f t="shared" si="1"/>
        <v>2</v>
      </c>
      <c r="F58" s="8" t="s">
        <v>245</v>
      </c>
      <c r="I58" s="8" t="s">
        <v>246</v>
      </c>
      <c r="J58" s="8" t="s">
        <v>247</v>
      </c>
    </row>
    <row r="59" spans="1:12" ht="105.75" customHeight="1">
      <c r="A59" t="str">
        <f t="shared" si="5"/>
        <v>5-4-2-Ap-C</v>
      </c>
      <c r="B59" s="6" t="s">
        <v>248</v>
      </c>
      <c r="C59" t="s">
        <v>33</v>
      </c>
      <c r="D59" t="s">
        <v>13</v>
      </c>
      <c r="E59">
        <f t="shared" si="1"/>
        <v>3</v>
      </c>
      <c r="F59" s="8" t="s">
        <v>249</v>
      </c>
      <c r="I59" s="8" t="s">
        <v>250</v>
      </c>
      <c r="J59" s="8" t="s">
        <v>251</v>
      </c>
      <c r="K59" s="8" t="s">
        <v>252</v>
      </c>
    </row>
    <row r="60" spans="1:12" ht="96">
      <c r="A60" t="str">
        <f t="shared" si="5"/>
        <v>5-4-5-U-C</v>
      </c>
      <c r="B60" s="6" t="s">
        <v>253</v>
      </c>
      <c r="C60" t="s">
        <v>48</v>
      </c>
      <c r="D60" t="s">
        <v>13</v>
      </c>
      <c r="E60">
        <f t="shared" si="1"/>
        <v>2</v>
      </c>
      <c r="F60" s="8" t="s">
        <v>254</v>
      </c>
      <c r="I60" s="10" t="s">
        <v>255</v>
      </c>
      <c r="J60" s="10" t="s">
        <v>256</v>
      </c>
    </row>
    <row r="61" spans="1:12" ht="88.5" customHeight="1">
      <c r="A61" t="str">
        <f t="shared" si="5"/>
        <v>5-5-0-R-C</v>
      </c>
      <c r="B61" s="6" t="s">
        <v>257</v>
      </c>
      <c r="C61" t="s">
        <v>210</v>
      </c>
      <c r="D61" t="s">
        <v>13</v>
      </c>
      <c r="E61">
        <f t="shared" si="1"/>
        <v>1</v>
      </c>
      <c r="F61" s="8" t="s">
        <v>258</v>
      </c>
      <c r="I61" s="8" t="s">
        <v>259</v>
      </c>
    </row>
    <row r="62" spans="1:12" ht="128">
      <c r="A62" t="str">
        <f t="shared" si="5"/>
        <v>5-5-1-U-C</v>
      </c>
      <c r="B62" s="6" t="s">
        <v>260</v>
      </c>
      <c r="C62" t="s">
        <v>48</v>
      </c>
      <c r="D62" t="s">
        <v>13</v>
      </c>
      <c r="E62">
        <f t="shared" si="1"/>
        <v>2</v>
      </c>
      <c r="F62" s="8" t="s">
        <v>261</v>
      </c>
      <c r="G62" s="8" t="s">
        <v>262</v>
      </c>
      <c r="I62" s="12" t="s">
        <v>263</v>
      </c>
      <c r="J62" s="24" t="s">
        <v>264</v>
      </c>
      <c r="K62" s="24" t="s">
        <v>265</v>
      </c>
    </row>
    <row r="63" spans="1:12" ht="108.75" customHeight="1">
      <c r="A63" t="str">
        <f t="shared" si="5"/>
        <v>5-5-2-U-C</v>
      </c>
      <c r="B63" s="6" t="s">
        <v>266</v>
      </c>
      <c r="C63" t="s">
        <v>48</v>
      </c>
      <c r="D63" t="s">
        <v>13</v>
      </c>
      <c r="E63">
        <f t="shared" si="1"/>
        <v>2</v>
      </c>
      <c r="F63" s="8" t="s">
        <v>267</v>
      </c>
      <c r="I63" s="8" t="s">
        <v>268</v>
      </c>
      <c r="J63" s="8" t="s">
        <v>269</v>
      </c>
    </row>
    <row r="64" spans="1:12" ht="131.25" customHeight="1">
      <c r="A64" t="str">
        <f t="shared" si="5"/>
        <v>5-5-4-Ap-C</v>
      </c>
      <c r="B64" s="6" t="s">
        <v>270</v>
      </c>
      <c r="C64" t="s">
        <v>33</v>
      </c>
      <c r="D64" t="s">
        <v>13</v>
      </c>
      <c r="E64">
        <f t="shared" si="1"/>
        <v>3</v>
      </c>
      <c r="F64" s="8" t="s">
        <v>271</v>
      </c>
      <c r="I64" s="8" t="s">
        <v>272</v>
      </c>
      <c r="J64" s="8" t="s">
        <v>273</v>
      </c>
    </row>
    <row r="65" spans="1:12" ht="44.25" customHeight="1">
      <c r="A65" t="str">
        <f t="shared" si="5"/>
        <v>5-6-2-Ap-C</v>
      </c>
      <c r="B65" s="6" t="s">
        <v>274</v>
      </c>
      <c r="C65" t="s">
        <v>33</v>
      </c>
      <c r="D65" t="s">
        <v>13</v>
      </c>
      <c r="E65">
        <f t="shared" si="1"/>
        <v>3</v>
      </c>
      <c r="F65" s="8" t="s">
        <v>275</v>
      </c>
      <c r="G65" s="11" t="s">
        <v>276</v>
      </c>
      <c r="I65" s="23" t="s">
        <v>277</v>
      </c>
    </row>
    <row r="66" spans="1:12" ht="32">
      <c r="A66" t="str">
        <f t="shared" si="5"/>
        <v>5-3-0-R-I</v>
      </c>
      <c r="B66" s="6" t="s">
        <v>278</v>
      </c>
      <c r="C66" t="s">
        <v>210</v>
      </c>
      <c r="D66" t="s">
        <v>74</v>
      </c>
      <c r="E66">
        <f t="shared" si="1"/>
        <v>1</v>
      </c>
      <c r="F66" s="8" t="s">
        <v>279</v>
      </c>
      <c r="G66" s="13" t="s">
        <v>234</v>
      </c>
    </row>
    <row r="67" spans="1:12" ht="102.75" customHeight="1">
      <c r="A67" t="str">
        <f t="shared" si="5"/>
        <v>5-3-3-Ap-I</v>
      </c>
      <c r="B67" s="6" t="s">
        <v>280</v>
      </c>
      <c r="C67" t="s">
        <v>33</v>
      </c>
      <c r="D67" t="s">
        <v>74</v>
      </c>
      <c r="E67">
        <f t="shared" ref="E67:E128" si="6">IF(C67="R",1,IF(C67="U",2, IF(C67="Ap",3, IF(C67="An",4, IF(C67="E",4,"N/A")))))</f>
        <v>3</v>
      </c>
      <c r="F67" s="8" t="s">
        <v>281</v>
      </c>
      <c r="G67" s="13" t="s">
        <v>234</v>
      </c>
      <c r="I67" s="25" t="s">
        <v>282</v>
      </c>
      <c r="J67" s="25" t="s">
        <v>283</v>
      </c>
    </row>
    <row r="68" spans="1:12" ht="64">
      <c r="A68" t="str">
        <f t="shared" si="5"/>
        <v>5-3-4-Ap-I</v>
      </c>
      <c r="B68" s="6" t="s">
        <v>284</v>
      </c>
      <c r="C68" t="s">
        <v>33</v>
      </c>
      <c r="D68" t="s">
        <v>74</v>
      </c>
      <c r="E68">
        <f t="shared" si="6"/>
        <v>3</v>
      </c>
      <c r="F68" s="8" t="s">
        <v>285</v>
      </c>
      <c r="G68" s="13" t="s">
        <v>234</v>
      </c>
      <c r="I68" s="8" t="s">
        <v>286</v>
      </c>
      <c r="J68" s="8" t="s">
        <v>287</v>
      </c>
      <c r="K68" s="8" t="s">
        <v>288</v>
      </c>
    </row>
    <row r="69" spans="1:12" ht="62.25" customHeight="1">
      <c r="A69" t="str">
        <f t="shared" si="5"/>
        <v>5-5-3-R-I</v>
      </c>
      <c r="B69" s="6" t="s">
        <v>289</v>
      </c>
      <c r="C69" t="s">
        <v>210</v>
      </c>
      <c r="D69" t="s">
        <v>74</v>
      </c>
      <c r="E69">
        <f t="shared" si="6"/>
        <v>1</v>
      </c>
      <c r="F69" s="8" t="s">
        <v>290</v>
      </c>
      <c r="I69" s="8" t="s">
        <v>291</v>
      </c>
    </row>
    <row r="70" spans="1:12" ht="96">
      <c r="A70" t="str">
        <f t="shared" si="5"/>
        <v>5-5-5-Ap-I</v>
      </c>
      <c r="B70" s="6" t="s">
        <v>292</v>
      </c>
      <c r="C70" t="s">
        <v>33</v>
      </c>
      <c r="D70" t="s">
        <v>74</v>
      </c>
      <c r="E70">
        <f t="shared" si="6"/>
        <v>3</v>
      </c>
      <c r="F70" s="8" t="s">
        <v>293</v>
      </c>
      <c r="I70" s="8" t="s">
        <v>294</v>
      </c>
      <c r="J70" s="1" t="s">
        <v>295</v>
      </c>
      <c r="K70" s="1" t="s">
        <v>296</v>
      </c>
    </row>
    <row r="71" spans="1:12" ht="16">
      <c r="A71" t="str">
        <f t="shared" si="5"/>
        <v>5-6-1-R-I</v>
      </c>
      <c r="B71" s="6" t="s">
        <v>297</v>
      </c>
      <c r="C71" t="s">
        <v>210</v>
      </c>
      <c r="D71" t="s">
        <v>74</v>
      </c>
      <c r="E71">
        <f t="shared" si="6"/>
        <v>1</v>
      </c>
      <c r="F71" s="8" t="s">
        <v>298</v>
      </c>
    </row>
    <row r="72" spans="1:12" ht="32">
      <c r="A72" s="2" t="str">
        <f>_xlfn.CONCAT(B72,"-",D72)</f>
        <v>6-0-0-C</v>
      </c>
      <c r="B72" s="5" t="s">
        <v>299</v>
      </c>
      <c r="C72" s="2"/>
      <c r="D72" s="2" t="s">
        <v>13</v>
      </c>
      <c r="F72" s="7" t="s">
        <v>300</v>
      </c>
      <c r="G72" s="7" t="s">
        <v>301</v>
      </c>
      <c r="I72" s="1" t="s">
        <v>302</v>
      </c>
      <c r="J72" s="1">
        <f>COUNTA(I73:L83)</f>
        <v>24</v>
      </c>
    </row>
    <row r="73" spans="1:12" ht="150" customHeight="1">
      <c r="A73" t="str">
        <f t="shared" ref="A73:A83" si="7">_xlfn.CONCAT(B73,"-",C73,"-",D73)</f>
        <v>6-1-0-U-C</v>
      </c>
      <c r="B73" s="6" t="s">
        <v>303</v>
      </c>
      <c r="C73" t="s">
        <v>48</v>
      </c>
      <c r="D73" t="s">
        <v>13</v>
      </c>
      <c r="E73">
        <f t="shared" si="6"/>
        <v>2</v>
      </c>
      <c r="F73" s="8" t="s">
        <v>304</v>
      </c>
      <c r="I73" s="8" t="s">
        <v>305</v>
      </c>
      <c r="J73" s="8" t="s">
        <v>306</v>
      </c>
      <c r="K73" s="8" t="s">
        <v>307</v>
      </c>
      <c r="L73" s="8" t="s">
        <v>308</v>
      </c>
    </row>
    <row r="74" spans="1:12" ht="32">
      <c r="A74" t="str">
        <f t="shared" si="7"/>
        <v>6-1-1-R-C</v>
      </c>
      <c r="B74" s="6" t="s">
        <v>309</v>
      </c>
      <c r="C74" t="s">
        <v>210</v>
      </c>
      <c r="D74" t="s">
        <v>13</v>
      </c>
      <c r="E74">
        <f t="shared" si="6"/>
        <v>1</v>
      </c>
      <c r="F74" s="8" t="s">
        <v>310</v>
      </c>
      <c r="I74" s="8" t="s">
        <v>311</v>
      </c>
    </row>
    <row r="75" spans="1:12" ht="32">
      <c r="A75" t="str">
        <f t="shared" si="7"/>
        <v>6-1-2-R-C</v>
      </c>
      <c r="B75" s="6" t="s">
        <v>312</v>
      </c>
      <c r="C75" t="s">
        <v>210</v>
      </c>
      <c r="D75" t="s">
        <v>13</v>
      </c>
      <c r="E75">
        <f t="shared" si="6"/>
        <v>1</v>
      </c>
      <c r="F75" s="8" t="s">
        <v>313</v>
      </c>
      <c r="I75" s="8" t="s">
        <v>314</v>
      </c>
      <c r="J75" s="8" t="s">
        <v>315</v>
      </c>
    </row>
    <row r="76" spans="1:12" ht="16">
      <c r="A76" t="str">
        <f t="shared" si="7"/>
        <v>6-3-0-Ap-C</v>
      </c>
      <c r="B76" s="6" t="s">
        <v>316</v>
      </c>
      <c r="C76" t="s">
        <v>33</v>
      </c>
      <c r="D76" t="s">
        <v>13</v>
      </c>
      <c r="E76">
        <f t="shared" si="6"/>
        <v>3</v>
      </c>
      <c r="F76" s="8" t="s">
        <v>317</v>
      </c>
      <c r="G76" s="49"/>
    </row>
    <row r="77" spans="1:12" ht="96">
      <c r="A77" t="str">
        <f t="shared" si="7"/>
        <v>6-3-1-Ap-C</v>
      </c>
      <c r="B77" s="6" t="s">
        <v>318</v>
      </c>
      <c r="C77" t="s">
        <v>33</v>
      </c>
      <c r="D77" t="s">
        <v>13</v>
      </c>
      <c r="E77">
        <f t="shared" si="6"/>
        <v>3</v>
      </c>
      <c r="F77" s="8" t="s">
        <v>319</v>
      </c>
      <c r="I77" s="8" t="s">
        <v>320</v>
      </c>
      <c r="J77" s="8" t="s">
        <v>321</v>
      </c>
      <c r="K77" s="8" t="s">
        <v>322</v>
      </c>
    </row>
    <row r="78" spans="1:12" ht="80">
      <c r="A78" t="str">
        <f t="shared" si="7"/>
        <v>6-9-1-U-C</v>
      </c>
      <c r="B78" s="6" t="s">
        <v>323</v>
      </c>
      <c r="C78" t="s">
        <v>48</v>
      </c>
      <c r="D78" t="s">
        <v>13</v>
      </c>
      <c r="E78">
        <f t="shared" si="6"/>
        <v>2</v>
      </c>
      <c r="F78" s="8" t="s">
        <v>324</v>
      </c>
      <c r="I78" s="8" t="s">
        <v>325</v>
      </c>
      <c r="J78" s="8" t="s">
        <v>326</v>
      </c>
    </row>
    <row r="79" spans="1:12" ht="119.25" customHeight="1">
      <c r="A79" t="str">
        <f t="shared" si="7"/>
        <v>6-9-2-U-C</v>
      </c>
      <c r="B79" s="6" t="s">
        <v>327</v>
      </c>
      <c r="C79" t="s">
        <v>48</v>
      </c>
      <c r="D79" t="s">
        <v>13</v>
      </c>
      <c r="E79">
        <f t="shared" si="6"/>
        <v>2</v>
      </c>
      <c r="F79" s="8" t="s">
        <v>328</v>
      </c>
      <c r="I79" s="10" t="s">
        <v>329</v>
      </c>
      <c r="J79" s="10" t="s">
        <v>330</v>
      </c>
      <c r="K79" s="10" t="s">
        <v>331</v>
      </c>
      <c r="L79" s="10" t="s">
        <v>332</v>
      </c>
    </row>
    <row r="80" spans="1:12" ht="106.5" customHeight="1">
      <c r="A80" t="str">
        <f t="shared" si="7"/>
        <v>6-10-1-Ap-C</v>
      </c>
      <c r="B80" s="6" t="s">
        <v>333</v>
      </c>
      <c r="C80" t="s">
        <v>33</v>
      </c>
      <c r="D80" t="s">
        <v>13</v>
      </c>
      <c r="E80">
        <f t="shared" si="6"/>
        <v>3</v>
      </c>
      <c r="F80" s="8" t="s">
        <v>334</v>
      </c>
      <c r="I80" s="8" t="s">
        <v>335</v>
      </c>
      <c r="J80" s="8" t="s">
        <v>336</v>
      </c>
      <c r="K80" s="10" t="s">
        <v>337</v>
      </c>
    </row>
    <row r="81" spans="1:12" ht="75.75" customHeight="1">
      <c r="A81" t="str">
        <f t="shared" si="7"/>
        <v>6-10-2-Ap-C</v>
      </c>
      <c r="B81" s="6" t="s">
        <v>338</v>
      </c>
      <c r="C81" t="s">
        <v>33</v>
      </c>
      <c r="D81" t="s">
        <v>13</v>
      </c>
      <c r="E81">
        <f t="shared" si="6"/>
        <v>3</v>
      </c>
      <c r="F81" s="8" t="s">
        <v>339</v>
      </c>
      <c r="I81" s="8" t="s">
        <v>340</v>
      </c>
      <c r="J81" s="8" t="s">
        <v>341</v>
      </c>
    </row>
    <row r="82" spans="1:12" ht="16">
      <c r="A82" t="str">
        <f t="shared" si="7"/>
        <v>6-2-0-U-I</v>
      </c>
      <c r="B82" s="6" t="s">
        <v>342</v>
      </c>
      <c r="C82" t="s">
        <v>48</v>
      </c>
      <c r="D82" t="s">
        <v>74</v>
      </c>
      <c r="E82">
        <f t="shared" si="6"/>
        <v>2</v>
      </c>
      <c r="F82" s="8" t="s">
        <v>343</v>
      </c>
      <c r="G82" s="47"/>
    </row>
    <row r="83" spans="1:12" ht="96">
      <c r="A83" t="str">
        <f t="shared" si="7"/>
        <v>6-2-1-Ap-I</v>
      </c>
      <c r="B83" s="6" t="s">
        <v>344</v>
      </c>
      <c r="C83" t="s">
        <v>33</v>
      </c>
      <c r="D83" t="s">
        <v>74</v>
      </c>
      <c r="E83">
        <f t="shared" si="6"/>
        <v>3</v>
      </c>
      <c r="F83" s="8" t="s">
        <v>345</v>
      </c>
      <c r="I83" s="8" t="s">
        <v>346</v>
      </c>
      <c r="J83" s="8" t="s">
        <v>347</v>
      </c>
      <c r="K83" s="33" t="s">
        <v>348</v>
      </c>
    </row>
    <row r="84" spans="1:12" ht="32">
      <c r="A84" s="2" t="str">
        <f>_xlfn.CONCAT(B84,"-",D84)</f>
        <v>7-0-0-C</v>
      </c>
      <c r="B84" s="5" t="s">
        <v>349</v>
      </c>
      <c r="C84" s="2"/>
      <c r="D84" s="2" t="s">
        <v>13</v>
      </c>
      <c r="F84" s="7" t="s">
        <v>350</v>
      </c>
      <c r="G84" s="7" t="s">
        <v>351</v>
      </c>
      <c r="I84" s="1" t="s">
        <v>352</v>
      </c>
      <c r="J84" s="1">
        <f>COUNTA(I85:L91)</f>
        <v>16</v>
      </c>
      <c r="K84" s="15" t="s">
        <v>86</v>
      </c>
    </row>
    <row r="85" spans="1:12" ht="16">
      <c r="A85" t="str">
        <f t="shared" ref="A85:A91" si="8">_xlfn.CONCAT(B85,"-",C85,"-",D85)</f>
        <v>7-1-0-U-C</v>
      </c>
      <c r="B85" s="6" t="s">
        <v>353</v>
      </c>
      <c r="C85" t="s">
        <v>48</v>
      </c>
      <c r="D85" t="s">
        <v>13</v>
      </c>
      <c r="E85">
        <f t="shared" si="6"/>
        <v>2</v>
      </c>
      <c r="F85" s="8" t="s">
        <v>354</v>
      </c>
    </row>
    <row r="86" spans="1:12" ht="48">
      <c r="A86" t="str">
        <f t="shared" si="8"/>
        <v>7-2-1-Ap-C</v>
      </c>
      <c r="B86" s="6" t="s">
        <v>355</v>
      </c>
      <c r="C86" t="s">
        <v>33</v>
      </c>
      <c r="D86" t="s">
        <v>13</v>
      </c>
      <c r="E86">
        <f t="shared" si="6"/>
        <v>3</v>
      </c>
      <c r="F86" s="8" t="s">
        <v>356</v>
      </c>
      <c r="I86" s="8" t="s">
        <v>357</v>
      </c>
      <c r="J86" s="8" t="s">
        <v>358</v>
      </c>
      <c r="K86" s="8" t="s">
        <v>359</v>
      </c>
    </row>
    <row r="87" spans="1:12" ht="48">
      <c r="A87" t="str">
        <f t="shared" si="8"/>
        <v>7-2-2-Ap-C</v>
      </c>
      <c r="B87" s="6" t="s">
        <v>360</v>
      </c>
      <c r="C87" t="s">
        <v>33</v>
      </c>
      <c r="D87" t="s">
        <v>13</v>
      </c>
      <c r="E87">
        <f t="shared" si="6"/>
        <v>3</v>
      </c>
      <c r="F87" s="8" t="s">
        <v>361</v>
      </c>
      <c r="I87" s="8" t="s">
        <v>362</v>
      </c>
      <c r="J87" s="8" t="s">
        <v>363</v>
      </c>
      <c r="K87" s="8" t="s">
        <v>364</v>
      </c>
    </row>
    <row r="88" spans="1:12" ht="48">
      <c r="A88" t="str">
        <f t="shared" si="8"/>
        <v>7-2-3-Ap-C</v>
      </c>
      <c r="B88" s="6" t="s">
        <v>365</v>
      </c>
      <c r="C88" t="s">
        <v>33</v>
      </c>
      <c r="D88" t="s">
        <v>13</v>
      </c>
      <c r="E88">
        <f t="shared" si="6"/>
        <v>3</v>
      </c>
      <c r="F88" s="8" t="s">
        <v>366</v>
      </c>
      <c r="I88" s="8" t="s">
        <v>367</v>
      </c>
      <c r="J88" s="8" t="s">
        <v>368</v>
      </c>
    </row>
    <row r="89" spans="1:12" ht="64">
      <c r="A89" t="str">
        <f t="shared" si="8"/>
        <v>7-2-4-Ap-I</v>
      </c>
      <c r="B89" s="6" t="s">
        <v>369</v>
      </c>
      <c r="C89" t="s">
        <v>33</v>
      </c>
      <c r="D89" t="s">
        <v>74</v>
      </c>
      <c r="E89">
        <f t="shared" si="6"/>
        <v>3</v>
      </c>
      <c r="F89" s="8" t="s">
        <v>370</v>
      </c>
      <c r="I89" s="8" t="s">
        <v>371</v>
      </c>
      <c r="J89" s="8" t="s">
        <v>372</v>
      </c>
      <c r="K89" s="8" t="s">
        <v>373</v>
      </c>
    </row>
    <row r="90" spans="1:12" ht="80">
      <c r="A90" t="str">
        <f t="shared" si="8"/>
        <v>7-2-5-Ap-I</v>
      </c>
      <c r="B90" s="6" t="s">
        <v>374</v>
      </c>
      <c r="C90" t="s">
        <v>33</v>
      </c>
      <c r="D90" t="s">
        <v>74</v>
      </c>
      <c r="E90">
        <f t="shared" si="6"/>
        <v>3</v>
      </c>
      <c r="F90" s="8" t="s">
        <v>375</v>
      </c>
      <c r="I90" s="25" t="s">
        <v>376</v>
      </c>
      <c r="J90" s="8" t="s">
        <v>377</v>
      </c>
    </row>
    <row r="91" spans="1:12" ht="80">
      <c r="A91" t="str">
        <f t="shared" si="8"/>
        <v>7-2-6-Ap-I</v>
      </c>
      <c r="B91" s="6" t="s">
        <v>378</v>
      </c>
      <c r="C91" t="s">
        <v>33</v>
      </c>
      <c r="D91" t="s">
        <v>74</v>
      </c>
      <c r="E91">
        <f t="shared" si="6"/>
        <v>3</v>
      </c>
      <c r="F91" s="8" t="s">
        <v>379</v>
      </c>
      <c r="I91" s="8" t="s">
        <v>380</v>
      </c>
      <c r="J91" s="8" t="s">
        <v>381</v>
      </c>
      <c r="K91" s="8" t="s">
        <v>382</v>
      </c>
    </row>
    <row r="92" spans="1:12" ht="32">
      <c r="A92" s="2" t="str">
        <f>_xlfn.CONCAT(B92,"-",D92)</f>
        <v>8-0-0-C</v>
      </c>
      <c r="B92" s="5" t="s">
        <v>383</v>
      </c>
      <c r="C92" s="2"/>
      <c r="D92" s="2" t="s">
        <v>13</v>
      </c>
      <c r="F92" s="7" t="s">
        <v>384</v>
      </c>
      <c r="G92" s="7" t="s">
        <v>385</v>
      </c>
      <c r="I92" s="1" t="s">
        <v>386</v>
      </c>
      <c r="J92" s="1">
        <f>COUNTA(I93:L102)-1-1</f>
        <v>27</v>
      </c>
    </row>
    <row r="93" spans="1:12" ht="135.75" customHeight="1">
      <c r="A93" t="str">
        <f t="shared" ref="A93:A102" si="9">_xlfn.CONCAT(B93,"-",C93,"-",D93)</f>
        <v>8-1-2-U-C</v>
      </c>
      <c r="B93" s="6" t="s">
        <v>387</v>
      </c>
      <c r="C93" t="s">
        <v>48</v>
      </c>
      <c r="D93" t="s">
        <v>13</v>
      </c>
      <c r="E93">
        <f t="shared" si="6"/>
        <v>2</v>
      </c>
      <c r="F93" s="8" t="s">
        <v>388</v>
      </c>
      <c r="I93" s="11" t="s">
        <v>26</v>
      </c>
      <c r="J93" s="8" t="s">
        <v>389</v>
      </c>
      <c r="K93" s="8" t="s">
        <v>390</v>
      </c>
      <c r="L93" s="8" t="s">
        <v>391</v>
      </c>
    </row>
    <row r="94" spans="1:12" ht="118.5" customHeight="1">
      <c r="A94" t="str">
        <f t="shared" si="9"/>
        <v>8-1-3-U-C</v>
      </c>
      <c r="B94" s="6" t="s">
        <v>392</v>
      </c>
      <c r="C94" t="s">
        <v>48</v>
      </c>
      <c r="D94" t="s">
        <v>13</v>
      </c>
      <c r="E94">
        <f t="shared" si="6"/>
        <v>2</v>
      </c>
      <c r="F94" s="8" t="s">
        <v>393</v>
      </c>
      <c r="I94" s="8" t="s">
        <v>394</v>
      </c>
      <c r="J94" s="8" t="s">
        <v>395</v>
      </c>
      <c r="K94" s="8" t="s">
        <v>396</v>
      </c>
      <c r="L94" s="26" t="s">
        <v>397</v>
      </c>
    </row>
    <row r="95" spans="1:12" ht="80">
      <c r="A95" t="str">
        <f t="shared" si="9"/>
        <v>8-1-1-R-C</v>
      </c>
      <c r="B95" s="6" t="s">
        <v>398</v>
      </c>
      <c r="C95" t="s">
        <v>210</v>
      </c>
      <c r="D95" t="s">
        <v>13</v>
      </c>
      <c r="E95">
        <f t="shared" si="6"/>
        <v>1</v>
      </c>
      <c r="F95" s="8" t="s">
        <v>399</v>
      </c>
      <c r="G95" s="8" t="s">
        <v>400</v>
      </c>
      <c r="I95" s="11" t="s">
        <v>401</v>
      </c>
      <c r="J95" s="8" t="s">
        <v>402</v>
      </c>
      <c r="K95" s="8" t="s">
        <v>403</v>
      </c>
    </row>
    <row r="96" spans="1:12" ht="64">
      <c r="A96" t="str">
        <f t="shared" si="9"/>
        <v>8-2-3-U-C</v>
      </c>
      <c r="B96" s="6" t="s">
        <v>404</v>
      </c>
      <c r="C96" t="s">
        <v>48</v>
      </c>
      <c r="D96" t="s">
        <v>13</v>
      </c>
      <c r="E96">
        <f t="shared" si="6"/>
        <v>2</v>
      </c>
      <c r="F96" s="8" t="s">
        <v>405</v>
      </c>
      <c r="I96" s="8" t="s">
        <v>406</v>
      </c>
      <c r="J96" s="8" t="s">
        <v>407</v>
      </c>
    </row>
    <row r="97" spans="1:12" ht="214.5" customHeight="1">
      <c r="A97" t="str">
        <f t="shared" si="9"/>
        <v>8-2-5-U-C</v>
      </c>
      <c r="B97" s="6" t="s">
        <v>408</v>
      </c>
      <c r="C97" t="s">
        <v>48</v>
      </c>
      <c r="D97" t="s">
        <v>13</v>
      </c>
      <c r="E97">
        <f t="shared" si="6"/>
        <v>2</v>
      </c>
      <c r="F97" s="8" t="s">
        <v>409</v>
      </c>
      <c r="I97" s="8" t="s">
        <v>410</v>
      </c>
      <c r="J97" s="8" t="s">
        <v>411</v>
      </c>
    </row>
    <row r="98" spans="1:12" ht="99" customHeight="1">
      <c r="A98" t="str">
        <f t="shared" si="9"/>
        <v>8-1-4-Ap-C</v>
      </c>
      <c r="B98" s="6" t="s">
        <v>412</v>
      </c>
      <c r="C98" t="s">
        <v>33</v>
      </c>
      <c r="D98" t="s">
        <v>13</v>
      </c>
      <c r="E98">
        <f t="shared" si="6"/>
        <v>3</v>
      </c>
      <c r="F98" s="9" t="s">
        <v>413</v>
      </c>
      <c r="I98" s="8" t="s">
        <v>414</v>
      </c>
      <c r="J98" s="8" t="s">
        <v>415</v>
      </c>
      <c r="K98" s="21" t="s">
        <v>416</v>
      </c>
      <c r="L98" s="21" t="s">
        <v>417</v>
      </c>
    </row>
    <row r="99" spans="1:12" ht="113.25" customHeight="1">
      <c r="A99" t="str">
        <f t="shared" si="9"/>
        <v>8-2-6-Ap-C</v>
      </c>
      <c r="B99" s="6" t="s">
        <v>418</v>
      </c>
      <c r="C99" t="s">
        <v>33</v>
      </c>
      <c r="D99" t="s">
        <v>13</v>
      </c>
      <c r="E99">
        <f t="shared" si="6"/>
        <v>3</v>
      </c>
      <c r="F99" s="9" t="s">
        <v>419</v>
      </c>
      <c r="I99" s="8" t="s">
        <v>420</v>
      </c>
      <c r="J99" s="8" t="s">
        <v>421</v>
      </c>
      <c r="K99" s="21" t="s">
        <v>422</v>
      </c>
      <c r="L99" s="8" t="s">
        <v>423</v>
      </c>
    </row>
    <row r="100" spans="1:12" ht="95.25" customHeight="1">
      <c r="A100" t="str">
        <f t="shared" si="9"/>
        <v>8-1-0-R-I</v>
      </c>
      <c r="B100" s="6" t="s">
        <v>424</v>
      </c>
      <c r="C100" t="s">
        <v>210</v>
      </c>
      <c r="D100" t="s">
        <v>74</v>
      </c>
      <c r="E100">
        <f t="shared" si="6"/>
        <v>1</v>
      </c>
      <c r="F100" s="8" t="s">
        <v>425</v>
      </c>
      <c r="I100" s="8" t="s">
        <v>426</v>
      </c>
      <c r="J100" s="8" t="s">
        <v>427</v>
      </c>
    </row>
    <row r="101" spans="1:12" ht="155.25" customHeight="1">
      <c r="A101" t="str">
        <f t="shared" si="9"/>
        <v>8-2-4-U-I</v>
      </c>
      <c r="B101" s="6" t="s">
        <v>428</v>
      </c>
      <c r="C101" t="s">
        <v>48</v>
      </c>
      <c r="D101" t="s">
        <v>74</v>
      </c>
      <c r="E101">
        <f t="shared" si="6"/>
        <v>2</v>
      </c>
      <c r="F101" s="8" t="s">
        <v>429</v>
      </c>
      <c r="I101" s="8" t="s">
        <v>430</v>
      </c>
      <c r="J101" s="8" t="s">
        <v>431</v>
      </c>
    </row>
    <row r="102" spans="1:12" ht="80">
      <c r="A102" t="str">
        <f t="shared" si="9"/>
        <v>8-2-0-R-I</v>
      </c>
      <c r="B102" s="6" t="s">
        <v>432</v>
      </c>
      <c r="C102" t="s">
        <v>210</v>
      </c>
      <c r="D102" t="s">
        <v>74</v>
      </c>
      <c r="E102">
        <f t="shared" si="6"/>
        <v>1</v>
      </c>
      <c r="F102" s="8" t="s">
        <v>433</v>
      </c>
      <c r="I102" s="8" t="s">
        <v>434</v>
      </c>
      <c r="J102" s="8" t="s">
        <v>435</v>
      </c>
    </row>
    <row r="103" spans="1:12" ht="32">
      <c r="A103" s="2" t="str">
        <f>_xlfn.CONCAT(B103,"-",D103)</f>
        <v>9-0-0-C</v>
      </c>
      <c r="B103" s="5" t="s">
        <v>436</v>
      </c>
      <c r="C103" s="2"/>
      <c r="D103" s="2" t="s">
        <v>13</v>
      </c>
      <c r="F103" s="7" t="s">
        <v>437</v>
      </c>
      <c r="G103" s="7" t="s">
        <v>438</v>
      </c>
      <c r="I103" s="14" t="s">
        <v>439</v>
      </c>
      <c r="J103" s="1">
        <f>COUNTA(I104:L125)-1-1</f>
        <v>32</v>
      </c>
    </row>
    <row r="104" spans="1:12" ht="16">
      <c r="A104" t="str">
        <f t="shared" ref="A104:A125" si="10">_xlfn.CONCAT(B104,"-",C104,"-",D104)</f>
        <v>9-2-4-C-A</v>
      </c>
      <c r="B104" s="6" t="s">
        <v>440</v>
      </c>
      <c r="C104" t="s">
        <v>13</v>
      </c>
      <c r="D104" t="s">
        <v>18</v>
      </c>
      <c r="E104" t="str">
        <f t="shared" ref="E104:E118" si="11">IF(C104="R",1,IF(C104="U",2, IF(C104="Ap",3, IF(C104="An",4, IF(C104="E",4,"N/A")))))</f>
        <v>N/A</v>
      </c>
      <c r="F104" s="8" t="s">
        <v>441</v>
      </c>
    </row>
    <row r="105" spans="1:12" ht="16">
      <c r="A105" t="str">
        <f t="shared" si="10"/>
        <v>9-1-5-C-A</v>
      </c>
      <c r="B105" s="6" t="s">
        <v>442</v>
      </c>
      <c r="C105" t="s">
        <v>13</v>
      </c>
      <c r="D105" t="s">
        <v>18</v>
      </c>
      <c r="E105" t="str">
        <f t="shared" si="11"/>
        <v>N/A</v>
      </c>
      <c r="F105" s="8" t="s">
        <v>443</v>
      </c>
    </row>
    <row r="106" spans="1:12" ht="64">
      <c r="A106" t="str">
        <f t="shared" si="10"/>
        <v>9-4-1-R-A</v>
      </c>
      <c r="B106" s="6" t="s">
        <v>444</v>
      </c>
      <c r="C106" t="s">
        <v>210</v>
      </c>
      <c r="D106" t="s">
        <v>18</v>
      </c>
      <c r="E106">
        <f t="shared" si="11"/>
        <v>1</v>
      </c>
      <c r="F106" s="8" t="s">
        <v>445</v>
      </c>
      <c r="I106" s="8" t="s">
        <v>446</v>
      </c>
    </row>
    <row r="107" spans="1:12" ht="32">
      <c r="A107" t="str">
        <f t="shared" si="10"/>
        <v>9-4-2-An-A</v>
      </c>
      <c r="B107" s="6" t="s">
        <v>447</v>
      </c>
      <c r="C107" t="s">
        <v>22</v>
      </c>
      <c r="D107" t="s">
        <v>18</v>
      </c>
      <c r="E107">
        <f t="shared" si="11"/>
        <v>4</v>
      </c>
      <c r="F107" s="8" t="s">
        <v>448</v>
      </c>
    </row>
    <row r="108" spans="1:12" ht="80">
      <c r="A108" t="str">
        <f t="shared" si="10"/>
        <v>9-1-0-R-C</v>
      </c>
      <c r="B108" s="6" t="s">
        <v>449</v>
      </c>
      <c r="C108" t="s">
        <v>210</v>
      </c>
      <c r="D108" t="s">
        <v>13</v>
      </c>
      <c r="E108">
        <f t="shared" si="11"/>
        <v>1</v>
      </c>
      <c r="F108" s="8" t="s">
        <v>450</v>
      </c>
      <c r="I108" s="8" t="s">
        <v>451</v>
      </c>
      <c r="J108" s="8" t="s">
        <v>452</v>
      </c>
    </row>
    <row r="109" spans="1:12" ht="138.75" customHeight="1">
      <c r="A109" t="str">
        <f t="shared" si="10"/>
        <v>9-1-1-U-C</v>
      </c>
      <c r="B109" s="6" t="s">
        <v>453</v>
      </c>
      <c r="C109" t="s">
        <v>48</v>
      </c>
      <c r="D109" t="s">
        <v>13</v>
      </c>
      <c r="E109">
        <f t="shared" si="11"/>
        <v>2</v>
      </c>
      <c r="F109" s="8" t="s">
        <v>454</v>
      </c>
      <c r="G109" s="48" t="s">
        <v>455</v>
      </c>
      <c r="I109" s="8" t="s">
        <v>456</v>
      </c>
      <c r="J109" s="8" t="s">
        <v>457</v>
      </c>
    </row>
    <row r="110" spans="1:12" ht="138.75" customHeight="1">
      <c r="A110" t="str">
        <f t="shared" si="10"/>
        <v>9-1-3-Ap-C</v>
      </c>
      <c r="B110" s="6" t="s">
        <v>458</v>
      </c>
      <c r="C110" t="s">
        <v>33</v>
      </c>
      <c r="D110" t="s">
        <v>13</v>
      </c>
      <c r="E110">
        <f t="shared" si="11"/>
        <v>3</v>
      </c>
      <c r="F110" s="8" t="s">
        <v>459</v>
      </c>
      <c r="I110" s="11" t="s">
        <v>460</v>
      </c>
      <c r="J110" s="8" t="s">
        <v>461</v>
      </c>
      <c r="K110" s="8" t="s">
        <v>462</v>
      </c>
    </row>
    <row r="111" spans="1:12" ht="80">
      <c r="A111" t="str">
        <f t="shared" si="10"/>
        <v>9-2-1-R-C</v>
      </c>
      <c r="B111" s="6" t="s">
        <v>463</v>
      </c>
      <c r="C111" t="s">
        <v>210</v>
      </c>
      <c r="D111" t="s">
        <v>13</v>
      </c>
      <c r="E111">
        <f t="shared" si="11"/>
        <v>1</v>
      </c>
      <c r="F111" s="8" t="s">
        <v>464</v>
      </c>
      <c r="I111" s="16" t="s">
        <v>465</v>
      </c>
    </row>
    <row r="112" spans="1:12" ht="112">
      <c r="A112" t="str">
        <f t="shared" si="10"/>
        <v>9-1-4-Ap-C</v>
      </c>
      <c r="B112" s="6" t="s">
        <v>466</v>
      </c>
      <c r="C112" t="s">
        <v>33</v>
      </c>
      <c r="D112" t="s">
        <v>13</v>
      </c>
      <c r="E112">
        <f t="shared" si="11"/>
        <v>3</v>
      </c>
      <c r="F112" s="8" t="s">
        <v>467</v>
      </c>
      <c r="I112" s="11" t="s">
        <v>460</v>
      </c>
      <c r="J112" s="8" t="s">
        <v>468</v>
      </c>
      <c r="K112" s="8" t="s">
        <v>469</v>
      </c>
      <c r="L112" s="8" t="s">
        <v>470</v>
      </c>
    </row>
    <row r="113" spans="1:12" ht="121.5" customHeight="1">
      <c r="A113" t="str">
        <f t="shared" si="10"/>
        <v>9-3-0-R-C</v>
      </c>
      <c r="B113" s="6" t="s">
        <v>471</v>
      </c>
      <c r="C113" t="s">
        <v>210</v>
      </c>
      <c r="D113" t="s">
        <v>13</v>
      </c>
      <c r="E113">
        <f t="shared" si="11"/>
        <v>1</v>
      </c>
      <c r="F113" s="8" t="s">
        <v>472</v>
      </c>
      <c r="I113" s="8" t="s">
        <v>473</v>
      </c>
      <c r="J113" s="8" t="s">
        <v>474</v>
      </c>
    </row>
    <row r="114" spans="1:12" ht="48">
      <c r="A114" t="str">
        <f t="shared" si="10"/>
        <v>9-3-1-U-C</v>
      </c>
      <c r="B114" s="6" t="s">
        <v>475</v>
      </c>
      <c r="C114" t="s">
        <v>48</v>
      </c>
      <c r="D114" t="s">
        <v>13</v>
      </c>
      <c r="E114">
        <f t="shared" si="11"/>
        <v>2</v>
      </c>
      <c r="F114" s="8" t="s">
        <v>476</v>
      </c>
      <c r="G114" s="7" t="s">
        <v>477</v>
      </c>
    </row>
    <row r="115" spans="1:12" ht="186.75" customHeight="1">
      <c r="A115" t="str">
        <f t="shared" si="10"/>
        <v>9-3-2-U-C</v>
      </c>
      <c r="B115" s="6" t="s">
        <v>478</v>
      </c>
      <c r="C115" t="s">
        <v>48</v>
      </c>
      <c r="D115" t="s">
        <v>13</v>
      </c>
      <c r="E115">
        <f t="shared" si="11"/>
        <v>2</v>
      </c>
      <c r="F115" s="8" t="s">
        <v>479</v>
      </c>
      <c r="I115" s="8" t="s">
        <v>480</v>
      </c>
      <c r="J115" s="8" t="s">
        <v>481</v>
      </c>
    </row>
    <row r="116" spans="1:12" ht="105" customHeight="1">
      <c r="A116" t="str">
        <f t="shared" si="10"/>
        <v>9-3-4-U-C</v>
      </c>
      <c r="B116" s="6" t="s">
        <v>482</v>
      </c>
      <c r="C116" t="s">
        <v>48</v>
      </c>
      <c r="D116" t="s">
        <v>13</v>
      </c>
      <c r="E116">
        <f t="shared" si="11"/>
        <v>2</v>
      </c>
      <c r="F116" s="8" t="s">
        <v>483</v>
      </c>
      <c r="I116" s="8" t="s">
        <v>484</v>
      </c>
    </row>
    <row r="117" spans="1:12" ht="80">
      <c r="A117" t="str">
        <f t="shared" si="10"/>
        <v>9-4-3-Ap-C</v>
      </c>
      <c r="B117" s="6" t="s">
        <v>485</v>
      </c>
      <c r="C117" t="s">
        <v>33</v>
      </c>
      <c r="D117" t="s">
        <v>13</v>
      </c>
      <c r="E117">
        <f t="shared" si="11"/>
        <v>3</v>
      </c>
      <c r="F117" s="8" t="s">
        <v>486</v>
      </c>
      <c r="I117" s="8" t="s">
        <v>487</v>
      </c>
      <c r="J117" s="8" t="s">
        <v>488</v>
      </c>
    </row>
    <row r="118" spans="1:12" ht="80">
      <c r="A118" t="str">
        <f t="shared" si="10"/>
        <v>9-5-1-An-C</v>
      </c>
      <c r="B118" s="6" t="s">
        <v>489</v>
      </c>
      <c r="C118" t="s">
        <v>22</v>
      </c>
      <c r="D118" t="s">
        <v>13</v>
      </c>
      <c r="E118">
        <f t="shared" si="11"/>
        <v>4</v>
      </c>
      <c r="F118" s="8" t="s">
        <v>490</v>
      </c>
      <c r="G118" s="28"/>
      <c r="I118" s="8" t="s">
        <v>491</v>
      </c>
      <c r="J118" s="8" t="s">
        <v>492</v>
      </c>
      <c r="K118" s="8" t="s">
        <v>493</v>
      </c>
      <c r="L118" s="8" t="s">
        <v>494</v>
      </c>
    </row>
    <row r="119" spans="1:12" ht="134.25" customHeight="1">
      <c r="A119" t="str">
        <f t="shared" si="10"/>
        <v>9-5-2-Ap-C</v>
      </c>
      <c r="B119" s="6" t="s">
        <v>495</v>
      </c>
      <c r="C119" t="s">
        <v>33</v>
      </c>
      <c r="D119" t="s">
        <v>13</v>
      </c>
      <c r="E119">
        <v>5</v>
      </c>
      <c r="F119" s="26" t="s">
        <v>496</v>
      </c>
      <c r="G119" s="28"/>
      <c r="I119" s="8" t="s">
        <v>497</v>
      </c>
      <c r="J119" s="8" t="s">
        <v>498</v>
      </c>
      <c r="K119" s="8" t="s">
        <v>499</v>
      </c>
      <c r="L119" s="8" t="s">
        <v>500</v>
      </c>
    </row>
    <row r="120" spans="1:12" ht="32">
      <c r="A120" t="str">
        <f t="shared" si="10"/>
        <v>9-5-3-An-C</v>
      </c>
      <c r="B120" s="6" t="s">
        <v>501</v>
      </c>
      <c r="C120" t="s">
        <v>22</v>
      </c>
      <c r="D120" t="s">
        <v>13</v>
      </c>
      <c r="E120">
        <f t="shared" ref="E120:E125" si="12">IF(C120="R",1,IF(C120="U",2, IF(C120="Ap",3, IF(C120="An",4, IF(C120="E",4,"N/A")))))</f>
        <v>4</v>
      </c>
      <c r="F120" s="8" t="s">
        <v>502</v>
      </c>
      <c r="G120" s="47"/>
    </row>
    <row r="121" spans="1:12" ht="166.5" customHeight="1">
      <c r="A121" t="str">
        <f t="shared" si="10"/>
        <v>9-1-2-U-C</v>
      </c>
      <c r="B121" s="6" t="s">
        <v>503</v>
      </c>
      <c r="C121" t="s">
        <v>48</v>
      </c>
      <c r="D121" t="s">
        <v>13</v>
      </c>
      <c r="E121">
        <f t="shared" si="12"/>
        <v>2</v>
      </c>
      <c r="F121" s="8" t="s">
        <v>504</v>
      </c>
      <c r="I121" s="27" t="s">
        <v>505</v>
      </c>
      <c r="J121" s="13" t="s">
        <v>506</v>
      </c>
    </row>
    <row r="122" spans="1:12" ht="115.5" customHeight="1">
      <c r="A122" t="str">
        <f t="shared" si="10"/>
        <v>9-3-3-U-I</v>
      </c>
      <c r="B122" s="6" t="s">
        <v>507</v>
      </c>
      <c r="C122" t="s">
        <v>48</v>
      </c>
      <c r="D122" t="s">
        <v>74</v>
      </c>
      <c r="E122">
        <f t="shared" si="12"/>
        <v>2</v>
      </c>
      <c r="F122" s="8" t="s">
        <v>508</v>
      </c>
      <c r="I122" s="8" t="s">
        <v>509</v>
      </c>
    </row>
    <row r="123" spans="1:12" ht="34.5" customHeight="1">
      <c r="A123" t="str">
        <f t="shared" si="10"/>
        <v>9-5-4-E-I</v>
      </c>
      <c r="B123" s="6" t="s">
        <v>510</v>
      </c>
      <c r="C123" t="s">
        <v>73</v>
      </c>
      <c r="D123" t="s">
        <v>74</v>
      </c>
      <c r="E123">
        <f t="shared" si="12"/>
        <v>4</v>
      </c>
      <c r="F123" s="8" t="s">
        <v>511</v>
      </c>
    </row>
    <row r="124" spans="1:12" ht="88.5" customHeight="1">
      <c r="A124" t="str">
        <f t="shared" si="10"/>
        <v>9-2-2-R-I</v>
      </c>
      <c r="B124" s="6" t="s">
        <v>512</v>
      </c>
      <c r="C124" t="s">
        <v>210</v>
      </c>
      <c r="D124" t="s">
        <v>74</v>
      </c>
      <c r="E124">
        <f t="shared" si="12"/>
        <v>1</v>
      </c>
      <c r="F124" s="8" t="s">
        <v>513</v>
      </c>
      <c r="I124" s="16" t="s">
        <v>465</v>
      </c>
    </row>
    <row r="125" spans="1:12" ht="90" customHeight="1">
      <c r="A125" t="str">
        <f t="shared" si="10"/>
        <v>9-2-3-U-I</v>
      </c>
      <c r="B125" s="6" t="s">
        <v>514</v>
      </c>
      <c r="C125" t="s">
        <v>48</v>
      </c>
      <c r="D125" t="s">
        <v>74</v>
      </c>
      <c r="E125">
        <f t="shared" si="12"/>
        <v>2</v>
      </c>
      <c r="F125" s="8" t="s">
        <v>515</v>
      </c>
      <c r="G125" s="47" t="s">
        <v>516</v>
      </c>
      <c r="I125" s="8" t="s">
        <v>517</v>
      </c>
      <c r="J125" s="8" t="s">
        <v>518</v>
      </c>
    </row>
    <row r="126" spans="1:12" ht="96">
      <c r="A126" s="2" t="str">
        <f>_xlfn.CONCAT(B126,"-",D126)</f>
        <v>10-0-0-I</v>
      </c>
      <c r="B126" s="5" t="s">
        <v>519</v>
      </c>
      <c r="C126" s="2"/>
      <c r="D126" s="2" t="s">
        <v>74</v>
      </c>
      <c r="F126" s="7" t="s">
        <v>520</v>
      </c>
      <c r="G126" s="7" t="s">
        <v>521</v>
      </c>
      <c r="I126" s="1" t="s">
        <v>522</v>
      </c>
      <c r="J126" s="1">
        <f>COUNTA(I127:L131)</f>
        <v>13</v>
      </c>
      <c r="K126" s="1"/>
    </row>
    <row r="127" spans="1:12" ht="32">
      <c r="A127" t="str">
        <f>_xlfn.CONCAT(B127,"-",C127,"-",D127)</f>
        <v>10-2-0-E-A</v>
      </c>
      <c r="B127" s="6" t="s">
        <v>523</v>
      </c>
      <c r="C127" t="s">
        <v>73</v>
      </c>
      <c r="D127" t="s">
        <v>18</v>
      </c>
      <c r="E127">
        <f t="shared" si="6"/>
        <v>4</v>
      </c>
      <c r="F127" s="8" t="s">
        <v>524</v>
      </c>
      <c r="G127" s="8" t="s">
        <v>525</v>
      </c>
    </row>
    <row r="128" spans="1:12" ht="155.25" customHeight="1">
      <c r="A128" t="str">
        <f>_xlfn.CONCAT(B128,"-",C128,"-",D128)</f>
        <v>10-0-2-U-C</v>
      </c>
      <c r="B128" s="6" t="s">
        <v>526</v>
      </c>
      <c r="C128" t="s">
        <v>48</v>
      </c>
      <c r="D128" t="s">
        <v>13</v>
      </c>
      <c r="E128">
        <f t="shared" si="6"/>
        <v>2</v>
      </c>
      <c r="F128" s="9" t="s">
        <v>527</v>
      </c>
      <c r="I128" s="8" t="s">
        <v>528</v>
      </c>
      <c r="J128" s="8" t="s">
        <v>529</v>
      </c>
      <c r="K128" s="8" t="s">
        <v>530</v>
      </c>
      <c r="L128" s="8" t="s">
        <v>531</v>
      </c>
    </row>
    <row r="129" spans="1:12" ht="112">
      <c r="A129" t="str">
        <f>_xlfn.CONCAT(B129,"-",C129,"-",D129)</f>
        <v>10-1-1-Ap-C</v>
      </c>
      <c r="B129" s="6" t="s">
        <v>532</v>
      </c>
      <c r="C129" t="s">
        <v>33</v>
      </c>
      <c r="D129" t="s">
        <v>13</v>
      </c>
      <c r="E129">
        <f t="shared" ref="E129:E159" si="13">IF(C129="R",1,IF(C129="U",2, IF(C129="Ap",3, IF(C129="An",4, IF(C129="E",4,"N/A")))))</f>
        <v>3</v>
      </c>
      <c r="F129" s="8" t="s">
        <v>533</v>
      </c>
      <c r="I129" s="16" t="s">
        <v>534</v>
      </c>
      <c r="J129" s="16" t="s">
        <v>535</v>
      </c>
      <c r="K129" s="11" t="s">
        <v>536</v>
      </c>
      <c r="L129" s="11" t="s">
        <v>537</v>
      </c>
    </row>
    <row r="130" spans="1:12" ht="139.5" customHeight="1">
      <c r="A130" t="str">
        <f>_xlfn.CONCAT(B130,"-",C130,"-",D130)</f>
        <v>10-1-2-Ap-C</v>
      </c>
      <c r="B130" s="6" t="s">
        <v>538</v>
      </c>
      <c r="C130" t="s">
        <v>33</v>
      </c>
      <c r="D130" t="s">
        <v>13</v>
      </c>
      <c r="E130">
        <f t="shared" si="13"/>
        <v>3</v>
      </c>
      <c r="F130" s="8" t="s">
        <v>539</v>
      </c>
      <c r="G130" s="8" t="s">
        <v>540</v>
      </c>
      <c r="I130" s="8" t="s">
        <v>541</v>
      </c>
      <c r="J130" s="8" t="s">
        <v>542</v>
      </c>
      <c r="K130" s="8" t="s">
        <v>543</v>
      </c>
    </row>
    <row r="131" spans="1:12" ht="78" customHeight="1">
      <c r="A131" t="str">
        <f>_xlfn.CONCAT(B131,"-",C131,"-",D131)</f>
        <v>10-0-1-R-I</v>
      </c>
      <c r="B131" s="6" t="s">
        <v>544</v>
      </c>
      <c r="C131" t="s">
        <v>210</v>
      </c>
      <c r="D131" t="s">
        <v>74</v>
      </c>
      <c r="E131">
        <f t="shared" si="13"/>
        <v>1</v>
      </c>
      <c r="F131" s="8" t="s">
        <v>545</v>
      </c>
      <c r="I131" s="8" t="s">
        <v>546</v>
      </c>
      <c r="J131" s="8" t="s">
        <v>547</v>
      </c>
    </row>
    <row r="132" spans="1:12" ht="32">
      <c r="A132" s="2" t="str">
        <f>_xlfn.CONCAT(B132,"-",D132)</f>
        <v>11-0-0-C</v>
      </c>
      <c r="B132" s="5" t="s">
        <v>548</v>
      </c>
      <c r="C132" s="2"/>
      <c r="D132" s="2" t="s">
        <v>13</v>
      </c>
      <c r="F132" s="7" t="s">
        <v>549</v>
      </c>
      <c r="G132" s="7" t="s">
        <v>550</v>
      </c>
      <c r="I132" s="14" t="s">
        <v>551</v>
      </c>
      <c r="J132" s="1">
        <f>COUNTA(I133:L145)</f>
        <v>21</v>
      </c>
    </row>
    <row r="133" spans="1:12" ht="16">
      <c r="A133" t="str">
        <f>_xlfn.CONCAT(B133,"-",C133,"-",D133)</f>
        <v>11-2-4-E-A</v>
      </c>
      <c r="B133" s="6" t="s">
        <v>552</v>
      </c>
      <c r="C133" t="s">
        <v>73</v>
      </c>
      <c r="D133" t="s">
        <v>18</v>
      </c>
      <c r="E133">
        <f t="shared" si="13"/>
        <v>4</v>
      </c>
      <c r="F133" s="8" t="s">
        <v>553</v>
      </c>
      <c r="G133" s="47"/>
    </row>
    <row r="134" spans="1:12" ht="63.75" customHeight="1">
      <c r="A134" t="str">
        <f>_xlfn.CONCAT(B134,"-",C134,"-",D134)</f>
        <v>11-1-1-An-C</v>
      </c>
      <c r="B134" s="6" t="s">
        <v>554</v>
      </c>
      <c r="C134" t="s">
        <v>22</v>
      </c>
      <c r="D134" t="s">
        <v>13</v>
      </c>
      <c r="E134">
        <f t="shared" si="13"/>
        <v>4</v>
      </c>
      <c r="F134" s="8" t="s">
        <v>555</v>
      </c>
      <c r="G134" s="8" t="s">
        <v>556</v>
      </c>
      <c r="I134" s="8" t="s">
        <v>557</v>
      </c>
      <c r="J134" s="8" t="s">
        <v>558</v>
      </c>
      <c r="K134" s="8" t="s">
        <v>559</v>
      </c>
    </row>
    <row r="135" spans="1:12" ht="80">
      <c r="A135" t="str">
        <f t="shared" ref="A135:A136" si="14">_xlfn.CONCAT(B135,"-",C135,"-",D135)</f>
        <v>11-1-0-R-C</v>
      </c>
      <c r="B135" s="6" t="s">
        <v>560</v>
      </c>
      <c r="C135" t="s">
        <v>210</v>
      </c>
      <c r="D135" s="8" t="s">
        <v>13</v>
      </c>
      <c r="E135">
        <f t="shared" si="13"/>
        <v>1</v>
      </c>
      <c r="F135" s="8" t="s">
        <v>561</v>
      </c>
      <c r="I135" s="8" t="s">
        <v>562</v>
      </c>
    </row>
    <row r="136" spans="1:12" ht="48">
      <c r="A136" t="str">
        <f t="shared" si="14"/>
        <v>11-1-2-Ap-C</v>
      </c>
      <c r="B136" s="6" t="s">
        <v>563</v>
      </c>
      <c r="C136" t="s">
        <v>33</v>
      </c>
      <c r="D136" s="8" t="s">
        <v>13</v>
      </c>
      <c r="E136">
        <f t="shared" si="13"/>
        <v>3</v>
      </c>
      <c r="F136" s="8" t="s">
        <v>564</v>
      </c>
      <c r="G136" s="8" t="s">
        <v>565</v>
      </c>
      <c r="I136" s="8" t="s">
        <v>566</v>
      </c>
      <c r="J136" s="8" t="s">
        <v>567</v>
      </c>
      <c r="K136" s="8" t="s">
        <v>568</v>
      </c>
    </row>
    <row r="137" spans="1:12" ht="80">
      <c r="A137" t="str">
        <f t="shared" ref="A137:A145" si="15">_xlfn.CONCAT(B137,"-",C137,"-",D137)</f>
        <v>11-2-1-R-C</v>
      </c>
      <c r="B137" s="6" t="s">
        <v>569</v>
      </c>
      <c r="C137" t="s">
        <v>210</v>
      </c>
      <c r="D137" t="s">
        <v>13</v>
      </c>
      <c r="E137">
        <f t="shared" si="13"/>
        <v>1</v>
      </c>
      <c r="F137" s="8" t="s">
        <v>570</v>
      </c>
      <c r="G137" s="8" t="s">
        <v>571</v>
      </c>
      <c r="I137" s="8" t="s">
        <v>572</v>
      </c>
    </row>
    <row r="138" spans="1:12" ht="80">
      <c r="A138" t="str">
        <f t="shared" si="15"/>
        <v>11-2-2-U-C</v>
      </c>
      <c r="B138" s="6" t="s">
        <v>573</v>
      </c>
      <c r="C138" t="s">
        <v>48</v>
      </c>
      <c r="D138" t="s">
        <v>13</v>
      </c>
      <c r="E138">
        <f t="shared" si="13"/>
        <v>2</v>
      </c>
      <c r="F138" s="8" t="s">
        <v>574</v>
      </c>
      <c r="I138" s="8" t="s">
        <v>575</v>
      </c>
    </row>
    <row r="139" spans="1:12" ht="93.75" customHeight="1">
      <c r="A139" t="str">
        <f t="shared" si="15"/>
        <v>11-2-3-U-C</v>
      </c>
      <c r="B139" s="6" t="s">
        <v>576</v>
      </c>
      <c r="C139" t="s">
        <v>48</v>
      </c>
      <c r="D139" t="s">
        <v>13</v>
      </c>
      <c r="E139">
        <f t="shared" si="13"/>
        <v>2</v>
      </c>
      <c r="F139" s="8" t="s">
        <v>577</v>
      </c>
      <c r="I139" s="8" t="s">
        <v>578</v>
      </c>
    </row>
    <row r="140" spans="1:12" ht="16">
      <c r="A140" s="29" t="str">
        <f t="shared" si="15"/>
        <v>11-4-1-An-C</v>
      </c>
      <c r="B140" s="6" t="s">
        <v>579</v>
      </c>
      <c r="C140" t="s">
        <v>22</v>
      </c>
      <c r="D140" t="s">
        <v>13</v>
      </c>
      <c r="E140">
        <f t="shared" si="13"/>
        <v>4</v>
      </c>
      <c r="F140" s="8" t="s">
        <v>580</v>
      </c>
      <c r="G140" s="47" t="s">
        <v>581</v>
      </c>
    </row>
    <row r="141" spans="1:12" ht="100.5" customHeight="1">
      <c r="A141" t="str">
        <f t="shared" si="15"/>
        <v>11-5-1-Ap-C</v>
      </c>
      <c r="B141" s="6" t="s">
        <v>582</v>
      </c>
      <c r="C141" t="s">
        <v>33</v>
      </c>
      <c r="D141" t="s">
        <v>13</v>
      </c>
      <c r="E141">
        <f t="shared" si="13"/>
        <v>3</v>
      </c>
      <c r="F141" s="8" t="s">
        <v>583</v>
      </c>
      <c r="I141" s="8" t="s">
        <v>584</v>
      </c>
      <c r="J141" s="8" t="s">
        <v>585</v>
      </c>
      <c r="K141" s="8" t="s">
        <v>586</v>
      </c>
      <c r="L141" s="8" t="s">
        <v>587</v>
      </c>
    </row>
    <row r="142" spans="1:12" ht="64.5" customHeight="1">
      <c r="A142" t="str">
        <f t="shared" si="15"/>
        <v>11-5-2-U-C</v>
      </c>
      <c r="B142" s="6" t="s">
        <v>588</v>
      </c>
      <c r="C142" t="s">
        <v>48</v>
      </c>
      <c r="D142" t="s">
        <v>13</v>
      </c>
      <c r="E142">
        <f t="shared" si="13"/>
        <v>2</v>
      </c>
      <c r="F142" s="8" t="s">
        <v>589</v>
      </c>
      <c r="I142" s="8" t="s">
        <v>590</v>
      </c>
    </row>
    <row r="143" spans="1:12" ht="94.5" customHeight="1">
      <c r="A143" t="str">
        <f t="shared" si="15"/>
        <v>11-5-4-Ap-C</v>
      </c>
      <c r="B143" s="6" t="s">
        <v>591</v>
      </c>
      <c r="C143" t="s">
        <v>33</v>
      </c>
      <c r="D143" t="s">
        <v>13</v>
      </c>
      <c r="E143">
        <f t="shared" si="13"/>
        <v>3</v>
      </c>
      <c r="F143" s="8" t="s">
        <v>592</v>
      </c>
      <c r="I143" s="8" t="s">
        <v>593</v>
      </c>
      <c r="J143" s="8" t="s">
        <v>594</v>
      </c>
      <c r="K143" s="8" t="s">
        <v>595</v>
      </c>
    </row>
    <row r="144" spans="1:12" ht="63" customHeight="1">
      <c r="A144" t="str">
        <f t="shared" si="15"/>
        <v>11-3-1-Ap-I</v>
      </c>
      <c r="B144" s="6" t="s">
        <v>596</v>
      </c>
      <c r="C144" t="s">
        <v>33</v>
      </c>
      <c r="D144" t="s">
        <v>74</v>
      </c>
      <c r="E144">
        <f t="shared" si="13"/>
        <v>3</v>
      </c>
      <c r="F144" s="8" t="s">
        <v>597</v>
      </c>
      <c r="I144" s="8" t="s">
        <v>598</v>
      </c>
      <c r="J144" s="8" t="s">
        <v>599</v>
      </c>
      <c r="K144" s="8" t="s">
        <v>600</v>
      </c>
    </row>
    <row r="145" spans="1:11" ht="48">
      <c r="A145" t="str">
        <f t="shared" si="15"/>
        <v>11-5-3-R-I</v>
      </c>
      <c r="B145" s="6" t="s">
        <v>601</v>
      </c>
      <c r="C145" t="s">
        <v>210</v>
      </c>
      <c r="D145" t="s">
        <v>74</v>
      </c>
      <c r="E145">
        <f t="shared" si="13"/>
        <v>1</v>
      </c>
      <c r="F145" s="8" t="s">
        <v>602</v>
      </c>
      <c r="G145" s="8" t="s">
        <v>603</v>
      </c>
    </row>
    <row r="146" spans="1:11" ht="32">
      <c r="A146" s="2" t="str">
        <f>_xlfn.CONCAT(B146,"-",D146)</f>
        <v>12-0-0-C</v>
      </c>
      <c r="B146" s="5" t="s">
        <v>604</v>
      </c>
      <c r="C146" s="2"/>
      <c r="D146" s="7" t="s">
        <v>13</v>
      </c>
      <c r="F146" s="7" t="s">
        <v>605</v>
      </c>
      <c r="G146" s="7" t="s">
        <v>606</v>
      </c>
      <c r="I146" s="14" t="s">
        <v>607</v>
      </c>
      <c r="J146" s="1">
        <f>COUNTA(I147:L154)</f>
        <v>14</v>
      </c>
      <c r="K146" s="15" t="s">
        <v>86</v>
      </c>
    </row>
    <row r="147" spans="1:11" ht="16">
      <c r="A147" t="str">
        <f t="shared" ref="A147:A154" si="16">_xlfn.CONCAT(B147,"-",C147,"-",D147)</f>
        <v>12-1-1-R-A</v>
      </c>
      <c r="B147" s="6" t="s">
        <v>608</v>
      </c>
      <c r="C147" t="s">
        <v>210</v>
      </c>
      <c r="D147" t="s">
        <v>18</v>
      </c>
      <c r="E147">
        <f t="shared" si="13"/>
        <v>1</v>
      </c>
      <c r="F147" s="8" t="s">
        <v>609</v>
      </c>
      <c r="G147" s="47"/>
    </row>
    <row r="148" spans="1:11" ht="16">
      <c r="A148" t="str">
        <f t="shared" si="16"/>
        <v>12-1-3-U-A</v>
      </c>
      <c r="B148" s="6" t="s">
        <v>610</v>
      </c>
      <c r="C148" t="s">
        <v>48</v>
      </c>
      <c r="D148" t="s">
        <v>18</v>
      </c>
      <c r="E148">
        <f t="shared" si="13"/>
        <v>2</v>
      </c>
      <c r="F148" s="8" t="s">
        <v>611</v>
      </c>
      <c r="G148" s="47"/>
    </row>
    <row r="149" spans="1:11" ht="48">
      <c r="A149" t="str">
        <f t="shared" si="16"/>
        <v>12-1-2-U-C</v>
      </c>
      <c r="B149" s="6" t="s">
        <v>612</v>
      </c>
      <c r="C149" t="s">
        <v>48</v>
      </c>
      <c r="D149" t="s">
        <v>13</v>
      </c>
      <c r="E149">
        <f t="shared" si="13"/>
        <v>2</v>
      </c>
      <c r="F149" s="8" t="s">
        <v>613</v>
      </c>
      <c r="I149" s="8" t="s">
        <v>614</v>
      </c>
      <c r="J149" s="8" t="s">
        <v>615</v>
      </c>
      <c r="K149" s="10" t="s">
        <v>616</v>
      </c>
    </row>
    <row r="150" spans="1:11" ht="80">
      <c r="A150" t="str">
        <f t="shared" si="16"/>
        <v>12-2-1-An-C</v>
      </c>
      <c r="B150" s="6" t="s">
        <v>617</v>
      </c>
      <c r="C150" t="s">
        <v>22</v>
      </c>
      <c r="D150" t="s">
        <v>13</v>
      </c>
      <c r="E150">
        <f t="shared" si="13"/>
        <v>4</v>
      </c>
      <c r="F150" s="8" t="s">
        <v>618</v>
      </c>
      <c r="I150" s="8" t="s">
        <v>619</v>
      </c>
      <c r="J150" s="8" t="s">
        <v>620</v>
      </c>
    </row>
    <row r="151" spans="1:11" ht="96">
      <c r="A151" t="str">
        <f t="shared" si="16"/>
        <v>12-3-1-Ap-C</v>
      </c>
      <c r="B151" s="6" t="s">
        <v>621</v>
      </c>
      <c r="C151" t="s">
        <v>33</v>
      </c>
      <c r="D151" t="s">
        <v>13</v>
      </c>
      <c r="E151">
        <f t="shared" si="13"/>
        <v>3</v>
      </c>
      <c r="F151" s="8" t="s">
        <v>622</v>
      </c>
      <c r="I151" s="8" t="s">
        <v>623</v>
      </c>
      <c r="J151" s="8" t="s">
        <v>624</v>
      </c>
      <c r="K151" s="8" t="s">
        <v>625</v>
      </c>
    </row>
    <row r="152" spans="1:11" ht="112">
      <c r="A152" t="str">
        <f t="shared" si="16"/>
        <v>12-3-2-Ap-C</v>
      </c>
      <c r="B152" s="6" t="s">
        <v>626</v>
      </c>
      <c r="C152" t="s">
        <v>33</v>
      </c>
      <c r="D152" t="s">
        <v>13</v>
      </c>
      <c r="E152">
        <f t="shared" si="13"/>
        <v>3</v>
      </c>
      <c r="F152" s="8" t="s">
        <v>627</v>
      </c>
      <c r="I152" s="8" t="s">
        <v>628</v>
      </c>
      <c r="J152" s="8" t="s">
        <v>629</v>
      </c>
      <c r="K152" s="8" t="s">
        <v>630</v>
      </c>
    </row>
    <row r="153" spans="1:11" ht="138" customHeight="1">
      <c r="A153" t="str">
        <f t="shared" si="16"/>
        <v>12-3-4-An-C</v>
      </c>
      <c r="B153" s="6" t="s">
        <v>631</v>
      </c>
      <c r="C153" t="s">
        <v>22</v>
      </c>
      <c r="D153" t="s">
        <v>13</v>
      </c>
      <c r="E153">
        <f t="shared" si="13"/>
        <v>4</v>
      </c>
      <c r="F153" s="8" t="s">
        <v>632</v>
      </c>
      <c r="I153" s="8" t="s">
        <v>633</v>
      </c>
      <c r="J153" s="8" t="s">
        <v>634</v>
      </c>
      <c r="K153" s="8" t="s">
        <v>635</v>
      </c>
    </row>
    <row r="154" spans="1:11" ht="16">
      <c r="A154" t="str">
        <f t="shared" si="16"/>
        <v>12-3-3-Ap-I</v>
      </c>
      <c r="B154" s="6" t="s">
        <v>636</v>
      </c>
      <c r="C154" t="s">
        <v>33</v>
      </c>
      <c r="D154" t="s">
        <v>74</v>
      </c>
      <c r="E154">
        <f t="shared" si="13"/>
        <v>3</v>
      </c>
      <c r="F154" s="8" t="s">
        <v>637</v>
      </c>
    </row>
    <row r="155" spans="1:11" ht="32">
      <c r="A155" s="2" t="str">
        <f>_xlfn.CONCAT(B155,"-",D155)</f>
        <v>13-0-0-C</v>
      </c>
      <c r="B155" s="5" t="s">
        <v>638</v>
      </c>
      <c r="C155" s="2"/>
      <c r="D155" s="2" t="s">
        <v>13</v>
      </c>
      <c r="F155" s="7" t="s">
        <v>639</v>
      </c>
      <c r="G155" s="7" t="s">
        <v>640</v>
      </c>
      <c r="I155" s="1" t="s">
        <v>641</v>
      </c>
      <c r="J155" s="1">
        <f>COUNTA(I156:L174)</f>
        <v>34</v>
      </c>
    </row>
    <row r="156" spans="1:11" ht="32">
      <c r="A156" t="str">
        <f t="shared" ref="A156:A159" si="17">_xlfn.CONCAT(B156,"-",C156,"-",D156)</f>
        <v>13-4-1-Ap-A</v>
      </c>
      <c r="B156" s="6" t="s">
        <v>642</v>
      </c>
      <c r="C156" t="s">
        <v>33</v>
      </c>
      <c r="D156" t="s">
        <v>18</v>
      </c>
      <c r="E156">
        <f t="shared" si="13"/>
        <v>3</v>
      </c>
      <c r="F156" s="8" t="s">
        <v>643</v>
      </c>
      <c r="G156" s="47"/>
      <c r="I156" s="8" t="s">
        <v>644</v>
      </c>
    </row>
    <row r="157" spans="1:11" ht="32">
      <c r="A157" t="str">
        <f t="shared" si="17"/>
        <v>13-4-2-Ap-A</v>
      </c>
      <c r="B157" s="6" t="s">
        <v>645</v>
      </c>
      <c r="C157" t="s">
        <v>33</v>
      </c>
      <c r="D157" t="s">
        <v>18</v>
      </c>
      <c r="E157">
        <f t="shared" si="13"/>
        <v>3</v>
      </c>
      <c r="F157" s="8" t="s">
        <v>646</v>
      </c>
      <c r="G157" s="47"/>
      <c r="I157" s="8" t="s">
        <v>647</v>
      </c>
    </row>
    <row r="158" spans="1:11" ht="32">
      <c r="A158" t="str">
        <f t="shared" si="17"/>
        <v>13-4-3-Ap-A</v>
      </c>
      <c r="B158" s="6" t="s">
        <v>648</v>
      </c>
      <c r="C158" t="s">
        <v>33</v>
      </c>
      <c r="D158" t="s">
        <v>18</v>
      </c>
      <c r="E158">
        <f t="shared" si="13"/>
        <v>3</v>
      </c>
      <c r="F158" s="8" t="s">
        <v>649</v>
      </c>
      <c r="G158" s="47"/>
    </row>
    <row r="159" spans="1:11" ht="32">
      <c r="A159" t="str">
        <f t="shared" si="17"/>
        <v>13-4-4-Ap-A</v>
      </c>
      <c r="B159" s="6" t="s">
        <v>650</v>
      </c>
      <c r="C159" t="s">
        <v>33</v>
      </c>
      <c r="D159" t="s">
        <v>18</v>
      </c>
      <c r="E159">
        <f t="shared" si="13"/>
        <v>3</v>
      </c>
      <c r="F159" s="8" t="s">
        <v>651</v>
      </c>
      <c r="G159" s="47"/>
      <c r="I159" s="8" t="s">
        <v>652</v>
      </c>
    </row>
    <row r="160" spans="1:11" ht="16">
      <c r="A160" s="31" t="s">
        <v>653</v>
      </c>
      <c r="B160" s="32"/>
      <c r="C160" s="31"/>
      <c r="D160" s="31"/>
      <c r="E160" s="31"/>
      <c r="F160" s="30" t="s">
        <v>654</v>
      </c>
    </row>
    <row r="161" spans="1:12" ht="96" customHeight="1">
      <c r="A161" t="str">
        <f t="shared" ref="A161:A164" si="18">_xlfn.CONCAT(B161,"-",C161,"-",D161)</f>
        <v>13-4-1G-Ap-A</v>
      </c>
      <c r="B161" s="6" t="s">
        <v>655</v>
      </c>
      <c r="C161" t="s">
        <v>33</v>
      </c>
      <c r="D161" t="s">
        <v>18</v>
      </c>
      <c r="E161">
        <f t="shared" ref="E161:E164" si="19">IF(C161="R",1,IF(C161="U",2, IF(C161="Ap",3, IF(C161="An",4, IF(C161="E",4,"N/A")))))</f>
        <v>3</v>
      </c>
      <c r="F161" s="8" t="s">
        <v>656</v>
      </c>
      <c r="G161" s="47" t="s">
        <v>657</v>
      </c>
      <c r="I161" s="8" t="s">
        <v>658</v>
      </c>
      <c r="J161" s="8" t="s">
        <v>659</v>
      </c>
    </row>
    <row r="162" spans="1:12" ht="74.25" customHeight="1">
      <c r="A162" t="str">
        <f t="shared" si="18"/>
        <v>13-4-2G-Ap-A</v>
      </c>
      <c r="B162" s="6" t="s">
        <v>660</v>
      </c>
      <c r="C162" t="s">
        <v>33</v>
      </c>
      <c r="D162" t="s">
        <v>18</v>
      </c>
      <c r="E162">
        <f t="shared" si="19"/>
        <v>3</v>
      </c>
      <c r="F162" s="8" t="s">
        <v>661</v>
      </c>
      <c r="G162" s="47" t="s">
        <v>657</v>
      </c>
      <c r="I162" s="8" t="s">
        <v>662</v>
      </c>
      <c r="J162" s="8" t="s">
        <v>663</v>
      </c>
    </row>
    <row r="163" spans="1:12" ht="75" customHeight="1">
      <c r="A163" t="str">
        <f t="shared" si="18"/>
        <v>13-4-3G-Ap-A</v>
      </c>
      <c r="B163" s="6" t="s">
        <v>664</v>
      </c>
      <c r="C163" t="s">
        <v>33</v>
      </c>
      <c r="D163" t="s">
        <v>18</v>
      </c>
      <c r="E163">
        <f t="shared" si="19"/>
        <v>3</v>
      </c>
      <c r="F163" s="8" t="s">
        <v>665</v>
      </c>
      <c r="G163" s="47" t="s">
        <v>657</v>
      </c>
      <c r="I163" s="8" t="s">
        <v>666</v>
      </c>
    </row>
    <row r="164" spans="1:12" ht="96">
      <c r="A164" t="str">
        <f t="shared" si="18"/>
        <v>13-4-4G-Ap-A</v>
      </c>
      <c r="B164" s="6" t="s">
        <v>667</v>
      </c>
      <c r="C164" t="s">
        <v>33</v>
      </c>
      <c r="D164" t="s">
        <v>18</v>
      </c>
      <c r="E164">
        <f t="shared" si="19"/>
        <v>3</v>
      </c>
      <c r="F164" s="8" t="s">
        <v>668</v>
      </c>
      <c r="G164" s="47" t="s">
        <v>657</v>
      </c>
      <c r="I164" s="8" t="s">
        <v>669</v>
      </c>
      <c r="J164" s="8" t="s">
        <v>670</v>
      </c>
    </row>
    <row r="165" spans="1:12" ht="96">
      <c r="A165" t="str">
        <f>_xlfn.CONCAT(B165,"-",C165,"-",D165)</f>
        <v>13-0-1-R-C</v>
      </c>
      <c r="B165" s="6" t="s">
        <v>671</v>
      </c>
      <c r="C165" t="s">
        <v>210</v>
      </c>
      <c r="D165" t="s">
        <v>13</v>
      </c>
      <c r="E165">
        <f>IF(C165="R",1,IF(C165="U",2, IF(C165="Ap",3, IF(C165="An",4, IF(C165="E",4,"N/A")))))</f>
        <v>1</v>
      </c>
      <c r="F165" s="8" t="s">
        <v>672</v>
      </c>
      <c r="I165" s="8" t="s">
        <v>673</v>
      </c>
    </row>
    <row r="166" spans="1:12" ht="80">
      <c r="A166" t="str">
        <f>_xlfn.CONCAT(B166,"-",C166,"-",D166)</f>
        <v>13-0-2-C-C</v>
      </c>
      <c r="B166" s="6" t="s">
        <v>674</v>
      </c>
      <c r="C166" t="s">
        <v>13</v>
      </c>
      <c r="D166" t="s">
        <v>13</v>
      </c>
      <c r="E166" t="str">
        <f>IF(C166="R",1,IF(C166="U",2, IF(C166="Ap",3, IF(C166="An",4, IF(C166="E",4,"N/A")))))</f>
        <v>N/A</v>
      </c>
      <c r="F166" s="8" t="s">
        <v>675</v>
      </c>
      <c r="I166" s="8" t="s">
        <v>676</v>
      </c>
      <c r="J166" s="8" t="s">
        <v>677</v>
      </c>
    </row>
    <row r="167" spans="1:12" ht="64">
      <c r="A167" t="str">
        <f>_xlfn.CONCAT(B167,"-",C167,"-",D167)</f>
        <v>13-1-1-Ap-C</v>
      </c>
      <c r="B167" s="6" t="s">
        <v>678</v>
      </c>
      <c r="C167" t="s">
        <v>33</v>
      </c>
      <c r="D167" t="s">
        <v>13</v>
      </c>
      <c r="E167">
        <f>IF(C167="R",1,IF(C167="U",2, IF(C167="Ap",3, IF(C167="An",4, IF(C167="E",4,"N/A")))))</f>
        <v>3</v>
      </c>
      <c r="F167" s="8" t="s">
        <v>679</v>
      </c>
      <c r="G167" s="47"/>
      <c r="I167" s="8" t="s">
        <v>680</v>
      </c>
      <c r="J167" s="8" t="s">
        <v>681</v>
      </c>
    </row>
    <row r="168" spans="1:12" ht="48">
      <c r="A168" t="str">
        <f>_xlfn.CONCAT(B168,"-",C168,"-",D168)</f>
        <v>13-1-2-Ap-C</v>
      </c>
      <c r="B168" s="6" t="s">
        <v>682</v>
      </c>
      <c r="C168" t="s">
        <v>33</v>
      </c>
      <c r="D168" t="s">
        <v>13</v>
      </c>
      <c r="E168">
        <f>IF(C168="R",1,IF(C168="U",2, IF(C168="Ap",3, IF(C168="An",4, IF(C168="E",4,"N/A")))))</f>
        <v>3</v>
      </c>
      <c r="F168" s="8" t="s">
        <v>683</v>
      </c>
      <c r="G168" s="47"/>
      <c r="I168" s="8" t="s">
        <v>684</v>
      </c>
      <c r="J168" s="8" t="s">
        <v>685</v>
      </c>
    </row>
    <row r="169" spans="1:12" ht="80">
      <c r="A169" t="str">
        <f>_xlfn.CONCAT(B169,"-",C169,"-",D169)</f>
        <v>13-1-3-Ap-C</v>
      </c>
      <c r="B169" s="6" t="s">
        <v>686</v>
      </c>
      <c r="C169" t="s">
        <v>33</v>
      </c>
      <c r="D169" t="s">
        <v>13</v>
      </c>
      <c r="E169">
        <f>IF(C169="R",1,IF(C169="U",2, IF(C169="Ap",3, IF(C169="An",4, IF(C169="E",4,"N/A")))))</f>
        <v>3</v>
      </c>
      <c r="F169" s="8" t="s">
        <v>687</v>
      </c>
      <c r="G169" s="47"/>
      <c r="I169" s="8" t="s">
        <v>688</v>
      </c>
      <c r="J169" s="8" t="s">
        <v>689</v>
      </c>
    </row>
    <row r="170" spans="1:12" ht="48">
      <c r="A170" t="str">
        <f t="shared" ref="A170" si="20">_xlfn.CONCAT(B170,"-",C170,"-",D170)</f>
        <v>13-1-4-Ap-C</v>
      </c>
      <c r="B170" s="6" t="s">
        <v>690</v>
      </c>
      <c r="C170" t="s">
        <v>33</v>
      </c>
      <c r="D170" t="s">
        <v>13</v>
      </c>
      <c r="E170">
        <f t="shared" ref="E170" si="21">IF(C170="R",1,IF(C170="U",2, IF(C170="Ap",3, IF(C170="An",4, IF(C170="E",4,"N/A")))))</f>
        <v>3</v>
      </c>
      <c r="F170" s="8" t="s">
        <v>691</v>
      </c>
      <c r="I170" s="8" t="s">
        <v>692</v>
      </c>
      <c r="J170" s="8" t="s">
        <v>693</v>
      </c>
      <c r="K170" s="8" t="s">
        <v>694</v>
      </c>
      <c r="L170" s="8" t="s">
        <v>695</v>
      </c>
    </row>
    <row r="171" spans="1:12" ht="64">
      <c r="A171" t="str">
        <f>_xlfn.CONCAT(B171,"-",C171,"-",D171)</f>
        <v>13-2-1-Ap-C</v>
      </c>
      <c r="B171" s="6" t="s">
        <v>696</v>
      </c>
      <c r="C171" t="s">
        <v>33</v>
      </c>
      <c r="D171" t="s">
        <v>13</v>
      </c>
      <c r="E171">
        <f>IF(C171="R",1,IF(C171="U",2, IF(C171="Ap",3, IF(C171="An",4, IF(C171="E",4,"N/A")))))</f>
        <v>3</v>
      </c>
      <c r="F171" s="8" t="s">
        <v>697</v>
      </c>
      <c r="I171" s="8" t="s">
        <v>698</v>
      </c>
      <c r="J171" s="8" t="s">
        <v>699</v>
      </c>
      <c r="K171" s="8" t="s">
        <v>700</v>
      </c>
    </row>
    <row r="172" spans="1:12" ht="80">
      <c r="A172" t="str">
        <f>_xlfn.CONCAT(B172,"-",C172,"-",D172)</f>
        <v>13-2-2-U-C</v>
      </c>
      <c r="B172" s="6" t="s">
        <v>701</v>
      </c>
      <c r="C172" t="s">
        <v>48</v>
      </c>
      <c r="D172" t="s">
        <v>13</v>
      </c>
      <c r="E172">
        <f>IF(C172="R",1,IF(C172="U",2, IF(C172="Ap",3, IF(C172="An",4, IF(C172="E",4,"N/A")))))</f>
        <v>2</v>
      </c>
      <c r="F172" s="8" t="s">
        <v>702</v>
      </c>
      <c r="G172" s="47"/>
      <c r="I172" s="8" t="s">
        <v>703</v>
      </c>
      <c r="J172" s="8" t="s">
        <v>704</v>
      </c>
      <c r="K172" s="8" t="s">
        <v>705</v>
      </c>
      <c r="L172" s="8" t="s">
        <v>706</v>
      </c>
    </row>
    <row r="173" spans="1:12" ht="119.25" customHeight="1">
      <c r="A173" t="str">
        <f>_xlfn.CONCAT(B173,"-",C173,"-",D173)</f>
        <v>13-3-1-Ap-I</v>
      </c>
      <c r="B173" s="6" t="s">
        <v>707</v>
      </c>
      <c r="C173" t="s">
        <v>33</v>
      </c>
      <c r="D173" t="s">
        <v>74</v>
      </c>
      <c r="E173">
        <f>IF(C173="R",1,IF(C173="U",2, IF(C173="Ap",3, IF(C173="An",4, IF(C173="E",4,"N/A")))))</f>
        <v>3</v>
      </c>
      <c r="F173" s="8" t="s">
        <v>708</v>
      </c>
      <c r="I173" s="8" t="s">
        <v>709</v>
      </c>
      <c r="J173" s="8" t="s">
        <v>710</v>
      </c>
    </row>
    <row r="174" spans="1:12" ht="63" customHeight="1">
      <c r="A174" t="str">
        <f>_xlfn.CONCAT(B174,"-",C174,"-",D174)</f>
        <v>13-3-2-Ap-I</v>
      </c>
      <c r="B174" s="6" t="s">
        <v>711</v>
      </c>
      <c r="C174" t="s">
        <v>33</v>
      </c>
      <c r="D174" t="s">
        <v>74</v>
      </c>
      <c r="E174">
        <f>IF(C174="R",1,IF(C174="U",2, IF(C174="Ap",3, IF(C174="An",4, IF(C174="E",4,"N/A")))))</f>
        <v>3</v>
      </c>
      <c r="F174" s="8" t="s">
        <v>712</v>
      </c>
      <c r="I174" s="8" t="s">
        <v>713</v>
      </c>
      <c r="J174" s="8" t="s">
        <v>714</v>
      </c>
    </row>
    <row r="175" spans="1:12" ht="32">
      <c r="A175" s="2" t="str">
        <f>_xlfn.CONCAT(B175,"-",D175)</f>
        <v>14-0-0-C</v>
      </c>
      <c r="B175" s="5" t="s">
        <v>715</v>
      </c>
      <c r="C175" s="2"/>
      <c r="D175" s="2" t="s">
        <v>13</v>
      </c>
      <c r="F175" s="7" t="s">
        <v>716</v>
      </c>
      <c r="G175" s="7" t="s">
        <v>717</v>
      </c>
      <c r="I175" s="14" t="s">
        <v>718</v>
      </c>
      <c r="J175" s="1">
        <f>COUNTA(I176:L184)</f>
        <v>9</v>
      </c>
    </row>
    <row r="176" spans="1:12" ht="32">
      <c r="A176" t="str">
        <f t="shared" ref="A176:A184" si="22">_xlfn.CONCAT(B176,"-",C176,"-",D176)</f>
        <v>14-2-2-Ap-A</v>
      </c>
      <c r="B176" s="6" t="s">
        <v>719</v>
      </c>
      <c r="C176" t="s">
        <v>33</v>
      </c>
      <c r="D176" t="s">
        <v>18</v>
      </c>
      <c r="E176">
        <f t="shared" ref="E176:E184" si="23">IF(C176="R",1,IF(C176="U",2, IF(C176="Ap",3, IF(C176="An",4, IF(C176="E",4,"N/A")))))</f>
        <v>3</v>
      </c>
      <c r="F176" s="8" t="s">
        <v>720</v>
      </c>
      <c r="G176" s="47"/>
      <c r="I176" s="8" t="s">
        <v>721</v>
      </c>
    </row>
    <row r="177" spans="1:9" ht="16">
      <c r="A177" t="str">
        <f t="shared" si="22"/>
        <v>14-0-1-R-C</v>
      </c>
      <c r="B177" s="6" t="s">
        <v>722</v>
      </c>
      <c r="C177" t="s">
        <v>210</v>
      </c>
      <c r="D177" t="s">
        <v>13</v>
      </c>
      <c r="E177">
        <f t="shared" si="23"/>
        <v>1</v>
      </c>
      <c r="F177" s="8" t="s">
        <v>723</v>
      </c>
      <c r="G177" s="47"/>
      <c r="I177" s="8" t="s">
        <v>724</v>
      </c>
    </row>
    <row r="178" spans="1:9" ht="32">
      <c r="A178" t="str">
        <f t="shared" si="22"/>
        <v>14-0-2-U-C</v>
      </c>
      <c r="B178" s="6" t="s">
        <v>725</v>
      </c>
      <c r="C178" t="s">
        <v>48</v>
      </c>
      <c r="D178" t="s">
        <v>13</v>
      </c>
      <c r="E178">
        <f t="shared" si="23"/>
        <v>2</v>
      </c>
      <c r="F178" s="8" t="s">
        <v>726</v>
      </c>
      <c r="G178" s="47"/>
      <c r="I178" s="8" t="s">
        <v>727</v>
      </c>
    </row>
    <row r="179" spans="1:9" ht="32">
      <c r="A179" t="str">
        <f t="shared" si="22"/>
        <v>14-0-3-U-C</v>
      </c>
      <c r="B179" s="6" t="s">
        <v>728</v>
      </c>
      <c r="C179" t="s">
        <v>48</v>
      </c>
      <c r="D179" t="s">
        <v>13</v>
      </c>
      <c r="E179">
        <f t="shared" si="23"/>
        <v>2</v>
      </c>
      <c r="F179" s="8" t="s">
        <v>729</v>
      </c>
      <c r="G179" s="47"/>
      <c r="I179" s="8" t="s">
        <v>730</v>
      </c>
    </row>
    <row r="180" spans="1:9" ht="16">
      <c r="A180" t="str">
        <f t="shared" si="22"/>
        <v>14-0-4-R-I</v>
      </c>
      <c r="B180" s="6" t="s">
        <v>731</v>
      </c>
      <c r="C180" t="s">
        <v>210</v>
      </c>
      <c r="D180" t="s">
        <v>74</v>
      </c>
      <c r="E180">
        <f t="shared" si="23"/>
        <v>1</v>
      </c>
      <c r="F180" s="8" t="s">
        <v>732</v>
      </c>
      <c r="G180" s="47"/>
      <c r="I180" s="8" t="s">
        <v>733</v>
      </c>
    </row>
    <row r="181" spans="1:9" ht="32">
      <c r="A181" t="str">
        <f>_xlfn.CONCAT(B181,"-",C181,"-",D181)</f>
        <v>14-1-1-Ap-I</v>
      </c>
      <c r="B181" s="6" t="s">
        <v>734</v>
      </c>
      <c r="C181" t="s">
        <v>33</v>
      </c>
      <c r="D181" t="s">
        <v>74</v>
      </c>
      <c r="E181">
        <f t="shared" si="23"/>
        <v>3</v>
      </c>
      <c r="F181" s="8" t="s">
        <v>735</v>
      </c>
      <c r="G181" s="47"/>
      <c r="I181" s="8" t="s">
        <v>736</v>
      </c>
    </row>
    <row r="182" spans="1:9" ht="32">
      <c r="A182" t="str">
        <f t="shared" si="22"/>
        <v>14-1-2-Ap-I</v>
      </c>
      <c r="B182" s="6" t="s">
        <v>737</v>
      </c>
      <c r="C182" t="s">
        <v>33</v>
      </c>
      <c r="D182" t="s">
        <v>74</v>
      </c>
      <c r="E182">
        <f t="shared" si="23"/>
        <v>3</v>
      </c>
      <c r="F182" s="8" t="s">
        <v>738</v>
      </c>
      <c r="G182" s="47"/>
      <c r="I182" s="8" t="s">
        <v>739</v>
      </c>
    </row>
    <row r="183" spans="1:9" ht="16">
      <c r="A183" t="str">
        <f t="shared" si="22"/>
        <v>14-2-1-R-I</v>
      </c>
      <c r="B183" s="6" t="s">
        <v>740</v>
      </c>
      <c r="C183" t="s">
        <v>210</v>
      </c>
      <c r="D183" t="s">
        <v>74</v>
      </c>
      <c r="E183">
        <f t="shared" si="23"/>
        <v>1</v>
      </c>
      <c r="F183" s="8" t="s">
        <v>741</v>
      </c>
      <c r="G183" s="47"/>
      <c r="I183" s="8" t="s">
        <v>742</v>
      </c>
    </row>
    <row r="184" spans="1:9" ht="32">
      <c r="A184" t="str">
        <f t="shared" si="22"/>
        <v>14-2-3-Ap-I</v>
      </c>
      <c r="B184" s="6" t="s">
        <v>743</v>
      </c>
      <c r="C184" t="s">
        <v>33</v>
      </c>
      <c r="D184" t="s">
        <v>74</v>
      </c>
      <c r="E184">
        <f t="shared" si="23"/>
        <v>3</v>
      </c>
      <c r="F184" s="8" t="s">
        <v>744</v>
      </c>
      <c r="G184" s="47"/>
      <c r="I184" s="8" t="s">
        <v>745</v>
      </c>
    </row>
  </sheetData>
  <sortState xmlns:xlrd2="http://schemas.microsoft.com/office/spreadsheetml/2017/richdata2" ref="A104:L125">
    <sortCondition ref="D104:D125"/>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5E24B-EDDF-4F89-92B2-6F202CF38EFB}">
  <dimension ref="A1:K102"/>
  <sheetViews>
    <sheetView workbookViewId="0">
      <selection activeCell="E93" sqref="E93"/>
    </sheetView>
  </sheetViews>
  <sheetFormatPr baseColWidth="10" defaultColWidth="8.83203125" defaultRowHeight="15"/>
  <cols>
    <col min="1" max="1" width="17" style="37" customWidth="1"/>
    <col min="2" max="2" width="3.1640625" customWidth="1"/>
    <col min="3" max="3" width="59.5" customWidth="1"/>
    <col min="4" max="4" width="3.1640625" customWidth="1"/>
    <col min="5" max="5" width="59.5" customWidth="1"/>
    <col min="6" max="6" width="3.1640625" customWidth="1"/>
    <col min="7" max="7" width="59.5" customWidth="1"/>
    <col min="8" max="8" width="3.1640625" customWidth="1"/>
    <col min="9" max="9" width="59.5" customWidth="1"/>
    <col min="10" max="10" width="3.1640625" customWidth="1"/>
    <col min="11" max="11" width="59.5" customWidth="1"/>
  </cols>
  <sheetData>
    <row r="1" spans="1:11" s="34" customFormat="1" ht="20">
      <c r="A1" s="34" t="s">
        <v>746</v>
      </c>
      <c r="C1" s="34" t="s">
        <v>747</v>
      </c>
      <c r="E1" s="34" t="s">
        <v>748</v>
      </c>
      <c r="G1" s="34" t="s">
        <v>749</v>
      </c>
      <c r="I1" s="34" t="s">
        <v>750</v>
      </c>
      <c r="K1" s="34" t="s">
        <v>751</v>
      </c>
    </row>
    <row r="2" spans="1:11" s="44" customFormat="1" ht="16.5" customHeight="1">
      <c r="A2" s="43"/>
    </row>
    <row r="3" spans="1:11" ht="16.5" customHeight="1">
      <c r="A3" s="36" t="s">
        <v>752</v>
      </c>
      <c r="C3" s="35" t="s">
        <v>753</v>
      </c>
      <c r="D3" s="35"/>
      <c r="E3" s="35" t="s">
        <v>754</v>
      </c>
      <c r="F3" s="35"/>
      <c r="G3" s="35" t="s">
        <v>755</v>
      </c>
      <c r="H3" s="35"/>
      <c r="I3" s="35" t="s">
        <v>756</v>
      </c>
      <c r="J3" s="35"/>
      <c r="K3" s="35" t="s">
        <v>757</v>
      </c>
    </row>
    <row r="4" spans="1:11" s="38" customFormat="1" ht="16.5" customHeight="1">
      <c r="A4" s="41"/>
      <c r="C4" s="39" t="s">
        <v>758</v>
      </c>
      <c r="E4" s="42" t="s">
        <v>759</v>
      </c>
      <c r="G4" s="39" t="s">
        <v>760</v>
      </c>
      <c r="I4" s="39" t="s">
        <v>761</v>
      </c>
      <c r="K4" s="39" t="s">
        <v>762</v>
      </c>
    </row>
    <row r="5" spans="1:11" s="38" customFormat="1" ht="16.5" customHeight="1">
      <c r="A5" s="41"/>
      <c r="C5" s="39" t="s">
        <v>763</v>
      </c>
      <c r="E5" s="39" t="s">
        <v>764</v>
      </c>
      <c r="G5" s="39" t="s">
        <v>765</v>
      </c>
      <c r="I5" s="39" t="s">
        <v>766</v>
      </c>
    </row>
    <row r="6" spans="1:11" s="38" customFormat="1" ht="16.5" customHeight="1">
      <c r="A6" s="41"/>
      <c r="C6" s="39" t="s">
        <v>767</v>
      </c>
      <c r="G6" s="39" t="s">
        <v>768</v>
      </c>
    </row>
    <row r="7" spans="1:11" s="44" customFormat="1" ht="16.5" customHeight="1">
      <c r="A7" s="43"/>
    </row>
    <row r="8" spans="1:11" ht="16.5" customHeight="1">
      <c r="A8" s="36" t="s">
        <v>769</v>
      </c>
      <c r="C8" s="35" t="s">
        <v>770</v>
      </c>
      <c r="D8" s="35"/>
      <c r="E8" s="35" t="s">
        <v>771</v>
      </c>
      <c r="F8" s="35"/>
      <c r="G8" s="35" t="s">
        <v>772</v>
      </c>
      <c r="H8" s="35"/>
      <c r="I8" s="35" t="s">
        <v>773</v>
      </c>
      <c r="J8" s="35"/>
      <c r="K8" s="35" t="s">
        <v>774</v>
      </c>
    </row>
    <row r="9" spans="1:11" s="38" customFormat="1" ht="16.5" customHeight="1">
      <c r="A9" s="41"/>
      <c r="C9" s="39" t="s">
        <v>775</v>
      </c>
      <c r="E9" s="39" t="s">
        <v>776</v>
      </c>
      <c r="G9" s="39" t="s">
        <v>777</v>
      </c>
      <c r="I9" s="39" t="s">
        <v>778</v>
      </c>
      <c r="K9" s="39" t="s">
        <v>779</v>
      </c>
    </row>
    <row r="10" spans="1:11" s="38" customFormat="1" ht="16.5" customHeight="1">
      <c r="A10" s="41"/>
      <c r="C10" s="39" t="s">
        <v>780</v>
      </c>
      <c r="E10" s="39" t="s">
        <v>781</v>
      </c>
      <c r="G10" s="39" t="s">
        <v>782</v>
      </c>
      <c r="I10" s="39" t="s">
        <v>783</v>
      </c>
      <c r="K10" s="39" t="s">
        <v>784</v>
      </c>
    </row>
    <row r="11" spans="1:11" s="38" customFormat="1" ht="16.5" customHeight="1">
      <c r="A11" s="41"/>
      <c r="G11" s="39" t="s">
        <v>785</v>
      </c>
      <c r="I11" s="39" t="s">
        <v>786</v>
      </c>
      <c r="K11" s="39" t="s">
        <v>787</v>
      </c>
    </row>
    <row r="12" spans="1:11" s="38" customFormat="1" ht="16.5" customHeight="1">
      <c r="A12" s="41"/>
      <c r="G12" s="39" t="s">
        <v>788</v>
      </c>
    </row>
    <row r="13" spans="1:11" s="44" customFormat="1" ht="16.5" customHeight="1">
      <c r="A13" s="43"/>
    </row>
    <row r="14" spans="1:11" ht="16.5" customHeight="1">
      <c r="A14" s="36" t="s">
        <v>789</v>
      </c>
      <c r="C14" s="35" t="s">
        <v>790</v>
      </c>
      <c r="D14" s="35"/>
      <c r="E14" s="35" t="s">
        <v>791</v>
      </c>
      <c r="F14" s="35"/>
      <c r="G14" s="35" t="s">
        <v>792</v>
      </c>
      <c r="H14" s="35"/>
      <c r="I14" s="35" t="s">
        <v>793</v>
      </c>
      <c r="J14" s="35"/>
      <c r="K14" s="35" t="s">
        <v>794</v>
      </c>
    </row>
    <row r="15" spans="1:11" s="38" customFormat="1" ht="16.5" customHeight="1">
      <c r="A15" s="41"/>
      <c r="C15" s="39" t="s">
        <v>795</v>
      </c>
      <c r="E15" s="39" t="s">
        <v>796</v>
      </c>
      <c r="G15" s="39" t="s">
        <v>797</v>
      </c>
      <c r="I15" s="39" t="s">
        <v>798</v>
      </c>
      <c r="K15" s="39" t="s">
        <v>799</v>
      </c>
    </row>
    <row r="16" spans="1:11" s="38" customFormat="1" ht="16.5" customHeight="1">
      <c r="A16" s="41"/>
      <c r="C16" s="39" t="s">
        <v>800</v>
      </c>
      <c r="E16" s="39" t="s">
        <v>801</v>
      </c>
      <c r="G16" s="39" t="s">
        <v>802</v>
      </c>
      <c r="I16" s="39" t="s">
        <v>803</v>
      </c>
      <c r="K16" s="39" t="s">
        <v>804</v>
      </c>
    </row>
    <row r="17" spans="1:11" s="38" customFormat="1" ht="16.5" customHeight="1">
      <c r="A17" s="41"/>
      <c r="K17" s="39" t="s">
        <v>805</v>
      </c>
    </row>
    <row r="18" spans="1:11" s="44" customFormat="1" ht="16.5" customHeight="1">
      <c r="A18" s="43"/>
    </row>
    <row r="19" spans="1:11" ht="16.5" customHeight="1">
      <c r="A19" s="36" t="s">
        <v>806</v>
      </c>
      <c r="C19" s="35" t="s">
        <v>807</v>
      </c>
      <c r="D19" s="35"/>
      <c r="E19" s="35" t="s">
        <v>808</v>
      </c>
      <c r="F19" s="35"/>
      <c r="G19" s="35" t="s">
        <v>809</v>
      </c>
      <c r="H19" s="35"/>
      <c r="I19" s="35" t="s">
        <v>810</v>
      </c>
      <c r="J19" s="35"/>
      <c r="K19" s="35" t="s">
        <v>811</v>
      </c>
    </row>
    <row r="20" spans="1:11" s="38" customFormat="1" ht="16.5" customHeight="1">
      <c r="A20" s="41"/>
      <c r="C20" s="39" t="s">
        <v>812</v>
      </c>
      <c r="E20" s="39" t="s">
        <v>813</v>
      </c>
      <c r="G20" s="39" t="s">
        <v>814</v>
      </c>
      <c r="I20" s="39" t="s">
        <v>815</v>
      </c>
      <c r="K20" s="39" t="s">
        <v>816</v>
      </c>
    </row>
    <row r="21" spans="1:11" s="38" customFormat="1" ht="16.5" customHeight="1">
      <c r="A21" s="41"/>
      <c r="C21" s="39" t="s">
        <v>817</v>
      </c>
      <c r="G21" s="39" t="s">
        <v>818</v>
      </c>
      <c r="I21" s="39" t="s">
        <v>819</v>
      </c>
      <c r="K21" s="39" t="s">
        <v>820</v>
      </c>
    </row>
    <row r="22" spans="1:11" s="38" customFormat="1" ht="16.5" customHeight="1">
      <c r="A22" s="41"/>
      <c r="C22" s="39" t="s">
        <v>821</v>
      </c>
      <c r="I22" s="39" t="s">
        <v>822</v>
      </c>
    </row>
    <row r="23" spans="1:11" s="38" customFormat="1" ht="16.5" customHeight="1">
      <c r="A23" s="41"/>
      <c r="C23" s="39" t="s">
        <v>823</v>
      </c>
    </row>
    <row r="24" spans="1:11" s="44" customFormat="1" ht="16.5" customHeight="1">
      <c r="A24" s="43"/>
    </row>
    <row r="25" spans="1:11" ht="16.5" customHeight="1">
      <c r="A25" s="36" t="s">
        <v>824</v>
      </c>
      <c r="C25" s="35" t="s">
        <v>825</v>
      </c>
      <c r="D25" s="35"/>
      <c r="E25" s="35" t="s">
        <v>826</v>
      </c>
      <c r="F25" s="35"/>
      <c r="G25" s="35" t="s">
        <v>827</v>
      </c>
      <c r="H25" s="35"/>
      <c r="I25" s="35" t="s">
        <v>828</v>
      </c>
      <c r="J25" s="35"/>
      <c r="K25" s="35" t="s">
        <v>829</v>
      </c>
    </row>
    <row r="26" spans="1:11" s="38" customFormat="1" ht="16.5" customHeight="1">
      <c r="A26" s="41"/>
      <c r="C26" s="39" t="s">
        <v>830</v>
      </c>
      <c r="E26" s="39" t="s">
        <v>831</v>
      </c>
      <c r="G26" s="39" t="s">
        <v>832</v>
      </c>
      <c r="I26" s="39" t="s">
        <v>833</v>
      </c>
      <c r="K26" s="39" t="s">
        <v>834</v>
      </c>
    </row>
    <row r="27" spans="1:11" s="38" customFormat="1" ht="16.5" customHeight="1">
      <c r="A27" s="41"/>
      <c r="C27" s="39" t="s">
        <v>835</v>
      </c>
      <c r="E27" s="39" t="s">
        <v>836</v>
      </c>
      <c r="G27" s="39" t="s">
        <v>837</v>
      </c>
      <c r="I27" s="39" t="s">
        <v>838</v>
      </c>
      <c r="K27" s="39" t="s">
        <v>839</v>
      </c>
    </row>
    <row r="28" spans="1:11" s="38" customFormat="1" ht="16.5" customHeight="1">
      <c r="A28" s="41"/>
      <c r="C28" s="39" t="s">
        <v>840</v>
      </c>
      <c r="E28" s="39" t="s">
        <v>841</v>
      </c>
      <c r="G28" s="39" t="s">
        <v>842</v>
      </c>
      <c r="I28" s="39" t="s">
        <v>843</v>
      </c>
      <c r="K28" s="39" t="s">
        <v>844</v>
      </c>
    </row>
    <row r="29" spans="1:11" s="38" customFormat="1" ht="16.5" customHeight="1">
      <c r="A29" s="41"/>
      <c r="E29" s="39" t="s">
        <v>845</v>
      </c>
      <c r="G29" s="39" t="s">
        <v>846</v>
      </c>
      <c r="I29" s="39" t="s">
        <v>847</v>
      </c>
      <c r="K29" s="39" t="s">
        <v>848</v>
      </c>
    </row>
    <row r="30" spans="1:11" s="38" customFormat="1" ht="16.5" customHeight="1">
      <c r="A30" s="41"/>
      <c r="E30" s="39" t="s">
        <v>849</v>
      </c>
      <c r="G30" s="39" t="s">
        <v>850</v>
      </c>
      <c r="I30" s="39" t="s">
        <v>851</v>
      </c>
    </row>
    <row r="31" spans="1:11" s="38" customFormat="1" ht="16.5" customHeight="1">
      <c r="A31" s="41"/>
      <c r="G31" s="39" t="s">
        <v>852</v>
      </c>
      <c r="I31" s="39" t="s">
        <v>853</v>
      </c>
    </row>
    <row r="32" spans="1:11" s="38" customFormat="1" ht="16.5" customHeight="1">
      <c r="A32" s="41"/>
      <c r="I32" s="39" t="s">
        <v>854</v>
      </c>
    </row>
    <row r="33" spans="1:11" s="38" customFormat="1" ht="16.5" customHeight="1">
      <c r="A33" s="41"/>
      <c r="I33" s="39" t="s">
        <v>855</v>
      </c>
    </row>
    <row r="34" spans="1:11" s="38" customFormat="1" ht="16.5" customHeight="1">
      <c r="A34" s="41"/>
      <c r="I34" s="39" t="s">
        <v>856</v>
      </c>
    </row>
    <row r="35" spans="1:11" s="38" customFormat="1" ht="16.5" customHeight="1">
      <c r="A35" s="41"/>
      <c r="I35" s="39" t="s">
        <v>857</v>
      </c>
    </row>
    <row r="36" spans="1:11" s="38" customFormat="1" ht="16.5" customHeight="1">
      <c r="A36" s="41"/>
      <c r="I36" s="39" t="s">
        <v>858</v>
      </c>
    </row>
    <row r="37" spans="1:11" s="38" customFormat="1" ht="16.5" customHeight="1">
      <c r="A37" s="41"/>
      <c r="I37" s="39" t="s">
        <v>859</v>
      </c>
    </row>
    <row r="38" spans="1:11" s="44" customFormat="1" ht="16.5" customHeight="1">
      <c r="A38" s="45"/>
    </row>
    <row r="39" spans="1:11" ht="16.5" customHeight="1">
      <c r="A39" s="36" t="s">
        <v>860</v>
      </c>
      <c r="C39" s="35" t="s">
        <v>861</v>
      </c>
      <c r="D39" s="35"/>
      <c r="E39" s="35" t="s">
        <v>862</v>
      </c>
      <c r="F39" s="35"/>
      <c r="G39" s="35" t="s">
        <v>863</v>
      </c>
      <c r="H39" s="35"/>
      <c r="I39" s="35" t="s">
        <v>864</v>
      </c>
      <c r="J39" s="35"/>
      <c r="K39" s="35" t="s">
        <v>865</v>
      </c>
    </row>
    <row r="40" spans="1:11" s="38" customFormat="1" ht="16.5" customHeight="1">
      <c r="A40" s="41"/>
      <c r="C40" s="39" t="s">
        <v>866</v>
      </c>
      <c r="E40" s="39" t="s">
        <v>867</v>
      </c>
      <c r="G40" s="40" t="s">
        <v>868</v>
      </c>
      <c r="I40" s="39" t="s">
        <v>869</v>
      </c>
      <c r="K40" s="39" t="s">
        <v>870</v>
      </c>
    </row>
    <row r="41" spans="1:11" s="38" customFormat="1" ht="16.5" customHeight="1">
      <c r="A41" s="41"/>
      <c r="C41" s="39" t="s">
        <v>871</v>
      </c>
      <c r="E41" s="39" t="s">
        <v>872</v>
      </c>
      <c r="G41" s="40" t="s">
        <v>873</v>
      </c>
      <c r="I41" s="39" t="s">
        <v>874</v>
      </c>
      <c r="K41" s="39" t="s">
        <v>875</v>
      </c>
    </row>
    <row r="42" spans="1:11" s="38" customFormat="1" ht="16.5" customHeight="1">
      <c r="A42" s="41"/>
      <c r="C42" s="40" t="s">
        <v>876</v>
      </c>
      <c r="E42" s="39" t="s">
        <v>877</v>
      </c>
      <c r="G42" s="39" t="s">
        <v>878</v>
      </c>
      <c r="I42" s="39" t="s">
        <v>879</v>
      </c>
      <c r="K42" s="39" t="s">
        <v>880</v>
      </c>
    </row>
    <row r="43" spans="1:11" s="38" customFormat="1" ht="16.5" customHeight="1">
      <c r="A43" s="41"/>
      <c r="E43" s="39" t="s">
        <v>881</v>
      </c>
      <c r="G43" s="39" t="s">
        <v>882</v>
      </c>
      <c r="I43" s="39" t="s">
        <v>883</v>
      </c>
      <c r="K43" s="39" t="s">
        <v>884</v>
      </c>
    </row>
    <row r="44" spans="1:11" s="38" customFormat="1" ht="16.5" customHeight="1">
      <c r="A44" s="41"/>
      <c r="E44" s="40" t="s">
        <v>885</v>
      </c>
      <c r="G44" s="39" t="s">
        <v>886</v>
      </c>
      <c r="I44" s="39" t="s">
        <v>887</v>
      </c>
    </row>
    <row r="45" spans="1:11" s="38" customFormat="1" ht="16.5" customHeight="1">
      <c r="A45" s="41"/>
      <c r="E45" s="40" t="s">
        <v>888</v>
      </c>
      <c r="G45" s="40" t="s">
        <v>889</v>
      </c>
      <c r="I45" s="39" t="s">
        <v>890</v>
      </c>
    </row>
    <row r="46" spans="1:11" s="38" customFormat="1" ht="16.5" customHeight="1">
      <c r="A46" s="41"/>
      <c r="G46" s="40" t="s">
        <v>891</v>
      </c>
    </row>
    <row r="47" spans="1:11" s="44" customFormat="1" ht="16.5" customHeight="1">
      <c r="A47" s="45"/>
    </row>
    <row r="48" spans="1:11" ht="16.5" customHeight="1">
      <c r="A48" s="36" t="s">
        <v>892</v>
      </c>
      <c r="B48" s="35"/>
      <c r="C48" s="35" t="s">
        <v>893</v>
      </c>
      <c r="D48" s="35"/>
      <c r="E48" s="35" t="s">
        <v>894</v>
      </c>
      <c r="F48" s="35"/>
      <c r="G48" s="35" t="s">
        <v>895</v>
      </c>
      <c r="H48" s="35"/>
      <c r="I48" s="35" t="s">
        <v>896</v>
      </c>
      <c r="J48" s="35"/>
      <c r="K48" s="35" t="s">
        <v>897</v>
      </c>
    </row>
    <row r="49" spans="1:11" s="38" customFormat="1" ht="16.5" customHeight="1">
      <c r="A49" s="41"/>
      <c r="C49" s="40" t="s">
        <v>898</v>
      </c>
      <c r="E49" s="39" t="s">
        <v>899</v>
      </c>
      <c r="G49" s="40" t="s">
        <v>900</v>
      </c>
      <c r="I49" s="39" t="s">
        <v>901</v>
      </c>
      <c r="K49" s="40" t="s">
        <v>902</v>
      </c>
    </row>
    <row r="50" spans="1:11" s="38" customFormat="1" ht="16.5" customHeight="1">
      <c r="A50" s="41"/>
      <c r="C50" s="39" t="s">
        <v>903</v>
      </c>
      <c r="E50" s="39" t="s">
        <v>904</v>
      </c>
      <c r="G50" s="40" t="s">
        <v>905</v>
      </c>
      <c r="I50" s="40" t="s">
        <v>906</v>
      </c>
      <c r="K50" s="39" t="s">
        <v>907</v>
      </c>
    </row>
    <row r="51" spans="1:11" s="38" customFormat="1" ht="16.5" customHeight="1">
      <c r="A51" s="41"/>
      <c r="C51" s="39" t="s">
        <v>908</v>
      </c>
      <c r="E51" s="40" t="s">
        <v>909</v>
      </c>
      <c r="G51" s="39" t="s">
        <v>910</v>
      </c>
      <c r="I51" s="40" t="s">
        <v>911</v>
      </c>
      <c r="K51" s="39" t="s">
        <v>912</v>
      </c>
    </row>
    <row r="52" spans="1:11" s="38" customFormat="1" ht="16.5" customHeight="1">
      <c r="A52" s="41"/>
      <c r="I52" s="39" t="s">
        <v>913</v>
      </c>
    </row>
    <row r="53" spans="1:11" s="44" customFormat="1" ht="16.5" customHeight="1">
      <c r="A53" s="45"/>
    </row>
    <row r="54" spans="1:11" ht="16.5" customHeight="1">
      <c r="A54" s="36" t="s">
        <v>914</v>
      </c>
      <c r="B54" s="18"/>
      <c r="C54" s="18" t="s">
        <v>915</v>
      </c>
      <c r="D54" s="18"/>
      <c r="E54" s="18" t="s">
        <v>916</v>
      </c>
      <c r="F54" s="18"/>
      <c r="G54" s="18" t="s">
        <v>917</v>
      </c>
      <c r="H54" s="18"/>
      <c r="I54" s="18" t="s">
        <v>918</v>
      </c>
      <c r="J54" s="18"/>
      <c r="K54" s="18" t="s">
        <v>919</v>
      </c>
    </row>
    <row r="55" spans="1:11" s="38" customFormat="1" ht="16.5" customHeight="1">
      <c r="A55" s="41"/>
      <c r="C55" s="40" t="s">
        <v>920</v>
      </c>
      <c r="E55" s="39" t="s">
        <v>921</v>
      </c>
      <c r="G55" s="39" t="s">
        <v>922</v>
      </c>
      <c r="I55" s="39" t="s">
        <v>923</v>
      </c>
      <c r="K55" s="39" t="s">
        <v>924</v>
      </c>
    </row>
    <row r="56" spans="1:11" s="38" customFormat="1" ht="16.5" customHeight="1">
      <c r="A56" s="41"/>
      <c r="C56" s="39" t="s">
        <v>925</v>
      </c>
      <c r="E56" s="39" t="s">
        <v>926</v>
      </c>
      <c r="G56" s="39" t="s">
        <v>927</v>
      </c>
      <c r="I56" s="39" t="s">
        <v>928</v>
      </c>
      <c r="K56" s="39" t="s">
        <v>929</v>
      </c>
    </row>
    <row r="57" spans="1:11" s="38" customFormat="1" ht="16.5" customHeight="1">
      <c r="A57" s="41"/>
      <c r="C57" s="39" t="s">
        <v>930</v>
      </c>
      <c r="E57" s="40" t="s">
        <v>931</v>
      </c>
      <c r="G57" s="39" t="s">
        <v>932</v>
      </c>
    </row>
    <row r="58" spans="1:11" s="38" customFormat="1" ht="16.5" customHeight="1">
      <c r="A58" s="41"/>
      <c r="C58" s="39" t="s">
        <v>933</v>
      </c>
      <c r="E58" s="39" t="s">
        <v>934</v>
      </c>
      <c r="G58" s="39" t="s">
        <v>935</v>
      </c>
    </row>
    <row r="59" spans="1:11" s="38" customFormat="1" ht="16.5" customHeight="1">
      <c r="A59" s="41"/>
      <c r="C59" s="39" t="s">
        <v>936</v>
      </c>
      <c r="G59" s="39" t="s">
        <v>937</v>
      </c>
    </row>
    <row r="60" spans="1:11" s="38" customFormat="1" ht="16.5" customHeight="1">
      <c r="A60" s="41"/>
      <c r="C60" s="39" t="s">
        <v>938</v>
      </c>
      <c r="G60" s="39" t="s">
        <v>939</v>
      </c>
    </row>
    <row r="61" spans="1:11" s="38" customFormat="1" ht="16.5" customHeight="1">
      <c r="A61" s="41"/>
      <c r="C61" s="39" t="s">
        <v>940</v>
      </c>
      <c r="G61" s="39" t="s">
        <v>941</v>
      </c>
    </row>
    <row r="62" spans="1:11" s="38" customFormat="1" ht="16.5" customHeight="1">
      <c r="A62" s="41"/>
      <c r="C62" s="39" t="s">
        <v>942</v>
      </c>
      <c r="G62" s="39" t="s">
        <v>943</v>
      </c>
    </row>
    <row r="63" spans="1:11" s="38" customFormat="1" ht="16.5" customHeight="1">
      <c r="A63" s="41"/>
      <c r="C63" s="39" t="s">
        <v>944</v>
      </c>
    </row>
    <row r="64" spans="1:11" s="38" customFormat="1" ht="16.5" customHeight="1">
      <c r="A64" s="41"/>
      <c r="C64" s="39" t="s">
        <v>945</v>
      </c>
    </row>
    <row r="65" spans="1:11" s="38" customFormat="1" ht="16.5" customHeight="1">
      <c r="A65" s="41"/>
      <c r="C65" s="40" t="s">
        <v>946</v>
      </c>
    </row>
    <row r="66" spans="1:11" s="44" customFormat="1" ht="16.5" customHeight="1">
      <c r="A66" s="45"/>
    </row>
    <row r="67" spans="1:11" ht="16.5" customHeight="1">
      <c r="A67" s="36" t="s">
        <v>947</v>
      </c>
      <c r="C67" s="35" t="s">
        <v>948</v>
      </c>
      <c r="D67" s="35"/>
      <c r="E67" s="35" t="s">
        <v>949</v>
      </c>
      <c r="F67" s="35"/>
      <c r="G67" s="35" t="s">
        <v>950</v>
      </c>
      <c r="H67" s="35"/>
      <c r="I67" s="35" t="s">
        <v>951</v>
      </c>
      <c r="J67" s="35"/>
      <c r="K67" s="35" t="s">
        <v>952</v>
      </c>
    </row>
    <row r="68" spans="1:11" s="38" customFormat="1" ht="16.5" customHeight="1">
      <c r="A68" s="41"/>
      <c r="C68" s="39" t="s">
        <v>953</v>
      </c>
      <c r="E68" s="39" t="s">
        <v>954</v>
      </c>
      <c r="G68" s="40" t="s">
        <v>955</v>
      </c>
      <c r="I68" s="39" t="s">
        <v>956</v>
      </c>
      <c r="K68" s="39" t="s">
        <v>957</v>
      </c>
    </row>
    <row r="69" spans="1:11" s="38" customFormat="1" ht="16.5" customHeight="1">
      <c r="A69" s="41"/>
      <c r="C69" s="39" t="s">
        <v>958</v>
      </c>
      <c r="E69" s="39" t="s">
        <v>959</v>
      </c>
      <c r="G69" s="39" t="s">
        <v>960</v>
      </c>
      <c r="I69" s="40" t="s">
        <v>961</v>
      </c>
      <c r="K69" s="39" t="s">
        <v>962</v>
      </c>
    </row>
    <row r="70" spans="1:11" s="38" customFormat="1" ht="16.5" customHeight="1">
      <c r="A70" s="41"/>
      <c r="C70" s="39" t="s">
        <v>963</v>
      </c>
      <c r="E70" s="39" t="s">
        <v>964</v>
      </c>
      <c r="G70" s="39" t="s">
        <v>965</v>
      </c>
      <c r="I70" s="39" t="s">
        <v>966</v>
      </c>
      <c r="K70" s="39" t="s">
        <v>967</v>
      </c>
    </row>
    <row r="71" spans="1:11" s="38" customFormat="1" ht="16.5" customHeight="1">
      <c r="A71" s="41"/>
      <c r="C71" s="39" t="s">
        <v>968</v>
      </c>
      <c r="E71" s="40" t="s">
        <v>969</v>
      </c>
      <c r="I71" s="39" t="s">
        <v>970</v>
      </c>
      <c r="K71" s="39" t="s">
        <v>971</v>
      </c>
    </row>
    <row r="72" spans="1:11" s="38" customFormat="1" ht="16.5" customHeight="1">
      <c r="A72" s="41"/>
      <c r="C72" s="40" t="s">
        <v>972</v>
      </c>
    </row>
    <row r="73" spans="1:11" s="38" customFormat="1" ht="16.5" customHeight="1">
      <c r="A73" s="41"/>
      <c r="C73" s="39" t="s">
        <v>973</v>
      </c>
    </row>
    <row r="74" spans="1:11" s="44" customFormat="1" ht="16.5" customHeight="1">
      <c r="A74" s="45"/>
    </row>
    <row r="75" spans="1:11" ht="16.5" customHeight="1">
      <c r="A75" s="36" t="s">
        <v>974</v>
      </c>
      <c r="B75" s="35"/>
      <c r="C75" s="35" t="s">
        <v>975</v>
      </c>
      <c r="D75" s="35"/>
      <c r="E75" s="35" t="s">
        <v>976</v>
      </c>
      <c r="F75" s="35"/>
      <c r="G75" s="35" t="s">
        <v>977</v>
      </c>
      <c r="H75" s="35"/>
      <c r="I75" s="35" t="s">
        <v>978</v>
      </c>
      <c r="J75" s="35"/>
      <c r="K75" s="35" t="s">
        <v>979</v>
      </c>
    </row>
    <row r="76" spans="1:11" s="38" customFormat="1" ht="16.5" customHeight="1">
      <c r="A76" s="41"/>
      <c r="C76" s="39" t="s">
        <v>980</v>
      </c>
      <c r="E76" s="39" t="s">
        <v>981</v>
      </c>
      <c r="G76" s="39" t="s">
        <v>982</v>
      </c>
      <c r="I76" s="39" t="s">
        <v>983</v>
      </c>
      <c r="K76" s="39" t="s">
        <v>984</v>
      </c>
    </row>
    <row r="77" spans="1:11" s="38" customFormat="1" ht="16.5" customHeight="1">
      <c r="A77" s="41"/>
      <c r="C77" s="39" t="s">
        <v>985</v>
      </c>
      <c r="E77" s="39" t="s">
        <v>986</v>
      </c>
      <c r="G77" s="39" t="s">
        <v>987</v>
      </c>
      <c r="I77" s="39" t="s">
        <v>988</v>
      </c>
      <c r="K77" s="39" t="s">
        <v>989</v>
      </c>
    </row>
    <row r="78" spans="1:11" s="38" customFormat="1" ht="16.5" customHeight="1">
      <c r="A78" s="41"/>
      <c r="E78" s="39" t="s">
        <v>990</v>
      </c>
    </row>
    <row r="79" spans="1:11" s="38" customFormat="1" ht="16.5" customHeight="1">
      <c r="A79" s="41"/>
      <c r="E79" s="39" t="s">
        <v>991</v>
      </c>
    </row>
    <row r="80" spans="1:11" s="44" customFormat="1" ht="16.5" customHeight="1">
      <c r="A80" s="45"/>
    </row>
    <row r="81" spans="1:11" ht="16.5" customHeight="1">
      <c r="A81" s="36" t="s">
        <v>992</v>
      </c>
      <c r="B81" s="35"/>
      <c r="C81" s="35" t="s">
        <v>993</v>
      </c>
      <c r="D81" s="35"/>
      <c r="E81" s="35" t="s">
        <v>994</v>
      </c>
      <c r="F81" s="35"/>
      <c r="G81" s="35" t="s">
        <v>995</v>
      </c>
      <c r="H81" s="35"/>
      <c r="I81" s="35" t="s">
        <v>996</v>
      </c>
      <c r="J81" s="35"/>
      <c r="K81" s="35" t="s">
        <v>997</v>
      </c>
    </row>
    <row r="82" spans="1:11" s="38" customFormat="1" ht="16.5" customHeight="1">
      <c r="A82" s="41"/>
      <c r="C82" s="39" t="s">
        <v>998</v>
      </c>
      <c r="E82" s="39" t="s">
        <v>999</v>
      </c>
      <c r="G82" s="39" t="s">
        <v>1000</v>
      </c>
      <c r="I82" s="39" t="s">
        <v>1001</v>
      </c>
      <c r="K82" s="39" t="s">
        <v>1002</v>
      </c>
    </row>
    <row r="83" spans="1:11" s="38" customFormat="1" ht="16.5" customHeight="1">
      <c r="A83" s="41"/>
      <c r="C83" s="39" t="s">
        <v>1003</v>
      </c>
      <c r="E83" s="39" t="s">
        <v>1004</v>
      </c>
      <c r="G83" s="39" t="s">
        <v>1005</v>
      </c>
      <c r="I83" s="39" t="s">
        <v>1006</v>
      </c>
      <c r="K83" s="39" t="s">
        <v>1007</v>
      </c>
    </row>
    <row r="84" spans="1:11" s="38" customFormat="1" ht="16.5" customHeight="1">
      <c r="A84" s="41"/>
      <c r="C84" s="39" t="s">
        <v>1008</v>
      </c>
      <c r="E84" s="39" t="s">
        <v>1009</v>
      </c>
      <c r="G84" s="39" t="s">
        <v>1010</v>
      </c>
      <c r="I84" s="39" t="s">
        <v>1011</v>
      </c>
      <c r="K84" s="39" t="s">
        <v>1012</v>
      </c>
    </row>
    <row r="85" spans="1:11" s="44" customFormat="1" ht="16.5" customHeight="1">
      <c r="A85" s="45"/>
    </row>
    <row r="86" spans="1:11" ht="16.5" customHeight="1">
      <c r="A86" s="36" t="s">
        <v>1013</v>
      </c>
      <c r="B86" s="35"/>
      <c r="C86" s="35" t="s">
        <v>1014</v>
      </c>
      <c r="D86" s="35"/>
      <c r="E86" s="35" t="s">
        <v>1015</v>
      </c>
      <c r="F86" s="35"/>
      <c r="G86" s="35" t="s">
        <v>1016</v>
      </c>
      <c r="H86" s="35"/>
      <c r="I86" s="35" t="s">
        <v>1017</v>
      </c>
      <c r="J86" s="35"/>
      <c r="K86" s="35" t="s">
        <v>1018</v>
      </c>
    </row>
    <row r="87" spans="1:11" s="38" customFormat="1" ht="16.5" customHeight="1">
      <c r="A87" s="41"/>
      <c r="C87" s="39" t="s">
        <v>1019</v>
      </c>
      <c r="E87" s="39" t="s">
        <v>1020</v>
      </c>
      <c r="G87" s="39" t="s">
        <v>1021</v>
      </c>
      <c r="I87" s="39" t="s">
        <v>1022</v>
      </c>
      <c r="K87" s="39" t="s">
        <v>1023</v>
      </c>
    </row>
    <row r="88" spans="1:11" s="38" customFormat="1" ht="16.5" customHeight="1">
      <c r="A88" s="41"/>
      <c r="C88" s="39" t="s">
        <v>1024</v>
      </c>
      <c r="E88" s="39" t="s">
        <v>1025</v>
      </c>
      <c r="G88" s="39" t="s">
        <v>1026</v>
      </c>
      <c r="I88" s="39" t="s">
        <v>1027</v>
      </c>
      <c r="K88" s="39" t="s">
        <v>1028</v>
      </c>
    </row>
    <row r="89" spans="1:11" s="38" customFormat="1" ht="16.5" customHeight="1">
      <c r="A89" s="41"/>
      <c r="C89" s="46" t="s">
        <v>1029</v>
      </c>
      <c r="G89" s="39" t="s">
        <v>1030</v>
      </c>
      <c r="I89" s="39" t="s">
        <v>1031</v>
      </c>
    </row>
    <row r="90" spans="1:11" s="44" customFormat="1" ht="16.5" customHeight="1">
      <c r="A90" s="45"/>
    </row>
    <row r="91" spans="1:11" ht="16.5" customHeight="1">
      <c r="A91" s="36" t="s">
        <v>1032</v>
      </c>
      <c r="B91" s="35"/>
      <c r="C91" s="35" t="s">
        <v>1033</v>
      </c>
      <c r="D91" s="35"/>
      <c r="E91" s="35" t="s">
        <v>1034</v>
      </c>
      <c r="F91" s="35"/>
      <c r="G91" s="35" t="s">
        <v>1035</v>
      </c>
      <c r="H91" s="35"/>
      <c r="I91" s="35" t="s">
        <v>1036</v>
      </c>
      <c r="J91" s="35"/>
      <c r="K91" s="35" t="s">
        <v>1037</v>
      </c>
    </row>
    <row r="92" spans="1:11" s="38" customFormat="1" ht="16.5" customHeight="1">
      <c r="A92" s="41"/>
      <c r="C92" s="39" t="s">
        <v>1038</v>
      </c>
      <c r="E92" s="39" t="s">
        <v>1039</v>
      </c>
      <c r="G92" s="39" t="s">
        <v>1040</v>
      </c>
      <c r="I92" s="39" t="s">
        <v>1041</v>
      </c>
      <c r="K92" s="39" t="s">
        <v>1042</v>
      </c>
    </row>
    <row r="93" spans="1:11" s="38" customFormat="1" ht="16.5" customHeight="1">
      <c r="A93" s="41"/>
      <c r="C93" s="39" t="s">
        <v>1043</v>
      </c>
      <c r="E93" s="39" t="s">
        <v>1044</v>
      </c>
      <c r="G93" s="39" t="s">
        <v>1045</v>
      </c>
      <c r="I93" s="39" t="s">
        <v>1046</v>
      </c>
      <c r="K93" s="39" t="s">
        <v>1047</v>
      </c>
    </row>
    <row r="94" spans="1:11" s="38" customFormat="1" ht="16.5" customHeight="1">
      <c r="A94" s="41"/>
      <c r="C94" s="39" t="s">
        <v>1048</v>
      </c>
      <c r="E94" s="39" t="s">
        <v>1049</v>
      </c>
      <c r="G94" s="39" t="s">
        <v>1050</v>
      </c>
      <c r="I94" s="39" t="s">
        <v>1051</v>
      </c>
      <c r="K94" s="39" t="s">
        <v>1052</v>
      </c>
    </row>
    <row r="95" spans="1:11" s="38" customFormat="1" ht="16.5" customHeight="1">
      <c r="A95" s="41"/>
      <c r="C95" s="39" t="s">
        <v>1053</v>
      </c>
      <c r="E95" s="39" t="s">
        <v>1054</v>
      </c>
      <c r="G95" s="39" t="s">
        <v>1055</v>
      </c>
      <c r="I95" s="39" t="s">
        <v>1056</v>
      </c>
      <c r="K95" s="39" t="s">
        <v>1057</v>
      </c>
    </row>
    <row r="96" spans="1:11" s="38" customFormat="1" ht="16.5" customHeight="1">
      <c r="A96" s="41"/>
      <c r="C96" s="39" t="s">
        <v>1058</v>
      </c>
      <c r="E96" s="39" t="s">
        <v>1059</v>
      </c>
      <c r="I96" s="39" t="s">
        <v>1060</v>
      </c>
      <c r="K96" s="39" t="s">
        <v>1061</v>
      </c>
    </row>
    <row r="97" spans="1:11" s="38" customFormat="1" ht="16.5" customHeight="1">
      <c r="A97" s="41"/>
      <c r="C97" s="39" t="s">
        <v>1062</v>
      </c>
      <c r="E97" s="39" t="s">
        <v>1063</v>
      </c>
      <c r="I97" s="39" t="s">
        <v>1064</v>
      </c>
      <c r="K97" s="39" t="s">
        <v>1065</v>
      </c>
    </row>
    <row r="98" spans="1:11" s="38" customFormat="1" ht="16.5" customHeight="1">
      <c r="A98" s="41"/>
      <c r="K98" s="39" t="s">
        <v>1066</v>
      </c>
    </row>
    <row r="99" spans="1:11" s="44" customFormat="1" ht="16.5" customHeight="1">
      <c r="A99" s="45"/>
    </row>
    <row r="100" spans="1:11" ht="16.5" customHeight="1">
      <c r="A100" s="36" t="s">
        <v>1067</v>
      </c>
      <c r="B100" s="35"/>
      <c r="C100" s="35" t="s">
        <v>1068</v>
      </c>
      <c r="D100" s="35"/>
      <c r="E100" s="35" t="s">
        <v>1069</v>
      </c>
      <c r="F100" s="35"/>
      <c r="G100" s="35" t="s">
        <v>1070</v>
      </c>
      <c r="H100" s="35"/>
      <c r="I100" s="35" t="s">
        <v>1071</v>
      </c>
      <c r="J100" s="35"/>
      <c r="K100" s="35" t="s">
        <v>1072</v>
      </c>
    </row>
    <row r="101" spans="1:11" s="38" customFormat="1" ht="16.5" customHeight="1">
      <c r="A101" s="41"/>
      <c r="C101" s="39" t="s">
        <v>1073</v>
      </c>
      <c r="E101" s="39" t="s">
        <v>1074</v>
      </c>
      <c r="G101" s="39" t="s">
        <v>1075</v>
      </c>
      <c r="I101" s="39" t="s">
        <v>1076</v>
      </c>
      <c r="K101" s="39" t="s">
        <v>1077</v>
      </c>
    </row>
    <row r="102" spans="1:11" s="38" customFormat="1" ht="16.5" customHeight="1">
      <c r="A102" s="41"/>
      <c r="E102" s="39" t="s">
        <v>1078</v>
      </c>
      <c r="K102" s="39" t="s">
        <v>1079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7B68EA0F55E84FB2BC7198BA2E046D" ma:contentTypeVersion="11" ma:contentTypeDescription="Create a new document." ma:contentTypeScope="" ma:versionID="ba9621cd6bca75dcbcdbed9bb3dc2d11">
  <xsd:schema xmlns:xsd="http://www.w3.org/2001/XMLSchema" xmlns:xs="http://www.w3.org/2001/XMLSchema" xmlns:p="http://schemas.microsoft.com/office/2006/metadata/properties" xmlns:ns2="7f42fc6f-183f-4470-b220-0e04ad632242" xmlns:ns3="64b58ee2-605b-46b7-8ee7-51b6eefc4e10" targetNamespace="http://schemas.microsoft.com/office/2006/metadata/properties" ma:root="true" ma:fieldsID="d18124dbae49fedaec32c7948c91d119" ns2:_="" ns3:_="">
    <xsd:import namespace="7f42fc6f-183f-4470-b220-0e04ad632242"/>
    <xsd:import namespace="64b58ee2-605b-46b7-8ee7-51b6eefc4e1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42fc6f-183f-4470-b220-0e04ad632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d23ff3b-8b4b-4ebe-81e4-de565bb03cb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4b58ee2-605b-46b7-8ee7-51b6eefc4e1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7799d59-3dc3-44a0-9175-d2e807b1fc5a}" ma:internalName="TaxCatchAll" ma:showField="CatchAllData" ma:web="64b58ee2-605b-46b7-8ee7-51b6eefc4e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4b58ee2-605b-46b7-8ee7-51b6eefc4e10" xsi:nil="true"/>
    <lcf76f155ced4ddcb4097134ff3c332f xmlns="7f42fc6f-183f-4470-b220-0e04ad63224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275B319-12B1-46C5-8273-30EE8930293F}">
  <ds:schemaRefs>
    <ds:schemaRef ds:uri="http://schemas.microsoft.com/sharepoint/v3/contenttype/forms"/>
  </ds:schemaRefs>
</ds:datastoreItem>
</file>

<file path=customXml/itemProps2.xml><?xml version="1.0" encoding="utf-8"?>
<ds:datastoreItem xmlns:ds="http://schemas.openxmlformats.org/officeDocument/2006/customXml" ds:itemID="{48DDC8CD-1427-4F94-885B-12D30BD7AB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42fc6f-183f-4470-b220-0e04ad632242"/>
    <ds:schemaRef ds:uri="64b58ee2-605b-46b7-8ee7-51b6eefc4e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19F83E-1F9E-4C13-8E50-3764BAD93B84}">
  <ds:schemaRefs>
    <ds:schemaRef ds:uri="http://www.w3.org/XML/1998/namespace"/>
    <ds:schemaRef ds:uri="http://purl.org/dc/dcmitype/"/>
    <ds:schemaRef ds:uri="64b58ee2-605b-46b7-8ee7-51b6eefc4e10"/>
    <ds:schemaRef ds:uri="http://purl.org/dc/elements/1.1/"/>
    <ds:schemaRef ds:uri="http://schemas.microsoft.com/office/2006/documentManagement/types"/>
    <ds:schemaRef ds:uri="7f42fc6f-183f-4470-b220-0e04ad632242"/>
    <ds:schemaRef ds:uri="http://schemas.microsoft.com/office/infopath/2007/PartnerControls"/>
    <ds:schemaRef ds:uri="http://schemas.openxmlformats.org/package/2006/metadata/core-properti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MATH249_Outcomes_2025</vt:lpstr>
      <vt:lpstr>WeBWork Quiz Design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Jerrod Smith</cp:lastModifiedBy>
  <cp:revision/>
  <dcterms:created xsi:type="dcterms:W3CDTF">2024-12-06T20:16:23Z</dcterms:created>
  <dcterms:modified xsi:type="dcterms:W3CDTF">2026-04-12T01:36:44Z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0x010100D47B68EA0F55E84FB2BC7198BA2E046D</vt:lpwstr>
  </property>
  <property fmtid="{D5CDD505-2E9C-101B-9397-08002B2CF9AE}" pid="3" name="MediaServiceImageTags">
    <vt:lpwstr/>
  </property>
</Properties>
</file>